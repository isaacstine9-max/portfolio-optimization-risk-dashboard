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" sheetId="1" state="visible" r:id="rId3"/>
    <sheet name="Inputs" sheetId="2" state="visible" r:id="rId4"/>
    <sheet name="Model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8" authorId="0">
      <text>
        <r>
          <rPr>
            <sz val="10"/>
            <rFont val="Arial"/>
            <family val="2"/>
          </rPr>
          <t xml:space="preserve">Row spacing for WACC.</t>
        </r>
      </text>
    </comment>
    <comment ref="D28" authorId="0">
      <text>
        <r>
          <rPr>
            <sz val="10"/>
            <rFont val="Arial"/>
            <family val="2"/>
          </rPr>
          <t xml:space="preserve">Column spacing for terminal growth.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Change to 1, 2 or 3; the Live column and every sheet update.</t>
        </r>
      </text>
    </comment>
    <comment ref="C9" authorId="0">
      <text>
        <r>
          <rPr>
            <sz val="10"/>
            <rFont val="Arial"/>
            <family val="2"/>
          </rPr>
          <t xml:space="preserve">Model date.</t>
        </r>
      </text>
    </comment>
    <comment ref="C10" authorId="0">
      <text>
        <r>
          <rPr>
            <sz val="10"/>
            <rFont val="Arial"/>
            <family val="2"/>
          </rPr>
          <t xml:space="preserve">Closing price Oct 2 2026 and market cap US$75.4bn: https://www.ad-hoc-news.de/boerse/news/corporate-news/moderna-stock-gained-0-57-percent-as-nasdaq-100-entry-nears/70226496</t>
        </r>
      </text>
    </comment>
    <comment ref="C11" authorId="0">
      <text>
        <r>
          <rPr>
            <sz val="10"/>
            <rFont val="Arial"/>
            <family val="2"/>
          </rPr>
          <t xml:space="preserve">Market cap US$75.4bn / price US$190.01. Closing price Oct 2 2026 and market cap US$75.4bn: https://www.ad-hoc-news.de/boerse/news/corporate-news/moderna-stock-gained-0-57-percent-as-nasdaq-100-entry-nears/70226496</t>
        </r>
      </text>
    </comment>
    <comment ref="C12" authorId="0">
      <text>
        <r>
          <rPr>
            <sz val="10"/>
            <rFont val="Arial"/>
            <family val="2"/>
          </rPr>
          <t xml:space="preserve">Midpoint of US$4.7-5.2bn year-end 2026 guidance (already net of the $950mm July 2026 settlement and remaining 2026 burn). Moderna Q2 2026 press release (8-K Ex. 99.1, Jul 31 2026): https://www.sec.gov/Archives/edgar/data/0001682852/000168285226000147/exhibit9912026q2pressrelea.htm</t>
        </r>
      </text>
    </comment>
    <comment ref="C13" authorId="0">
      <text>
        <r>
          <rPr>
            <sz val="10"/>
            <rFont val="Arial"/>
            <family val="2"/>
          </rPr>
          <t xml:space="preserve">US$0.6bn drawn on the US$1.5bn Ares term loan; balance sheet long-term debt US$591mm at Jun 30 2026. Moderna JPM 2026 update (8-K Ex. 99.1, Jan 12 2026): https://www.sec.gov/Archives/edgar/data/1682852/000168285226000007/exhibit991-01122026.htm</t>
        </r>
      </text>
    </comment>
    <comment ref="C18" authorId="0">
      <text>
        <r>
          <rPr>
            <sz val="10"/>
            <rFont val="Arial"/>
            <family val="2"/>
          </rPr>
          <t xml:space="preserve">10-yr Treasury par yield 5.28% (Oct 2 2026): https://stockmarketwatch.com/bonds/10-year-treasury-yield</t>
        </r>
      </text>
    </comment>
    <comment ref="C19" authorId="0">
      <text>
        <r>
          <rPr>
            <sz val="10"/>
            <rFont val="Arial"/>
            <family val="2"/>
          </rPr>
          <t xml:space="preserve">Assumption; MRNA's historical beta has ranged ~1.2-1.8.</t>
        </r>
      </text>
    </comment>
    <comment ref="C20" authorId="0">
      <text>
        <r>
          <rPr>
            <sz val="10"/>
            <rFont val="Arial"/>
            <family val="2"/>
          </rPr>
          <t xml:space="preserve">Assumption (Damodaran-style implied ERP ~4.5-5.5%).</t>
        </r>
      </text>
    </comment>
    <comment ref="C21" authorId="0">
      <text>
        <r>
          <rPr>
            <sz val="10"/>
            <rFont val="Arial"/>
            <family val="2"/>
          </rPr>
          <t xml:space="preserve">Approx. rate on Ares term loan; assumption.</t>
        </r>
      </text>
    </comment>
    <comment ref="C27" authorId="0">
      <text>
        <r>
          <rPr>
            <sz val="10"/>
            <rFont val="Arial"/>
            <family val="2"/>
          </rPr>
          <t xml:space="preserve">Type a rate here to override the CAPM build.</t>
        </r>
      </text>
    </comment>
    <comment ref="C54" authorId="0">
      <text>
        <r>
          <rPr>
            <sz val="10"/>
            <rFont val="Arial"/>
            <family val="2"/>
          </rPr>
          <t xml:space="preserve">Assumes filing after Phase 3 interim; approval in 2027-28.</t>
        </r>
      </text>
    </comment>
    <comment ref="C55" authorId="0">
      <text>
        <r>
          <rPr>
            <sz val="10"/>
            <rFont val="Arial"/>
            <family val="2"/>
          </rPr>
          <t xml:space="preserve">Assumption.</t>
        </r>
      </text>
    </comment>
    <comment ref="C56" authorId="0">
      <text>
        <r>
          <rPr>
            <sz val="10"/>
            <rFont val="Arial"/>
            <family val="2"/>
          </rPr>
          <t xml:space="preserve">Assumption.</t>
        </r>
      </text>
    </comment>
    <comment ref="C57" authorId="0">
      <text>
        <r>
          <rPr>
            <sz val="10"/>
            <rFont val="Arial"/>
            <family val="2"/>
          </rPr>
          <t xml:space="preserve">Linear ramp; assumption.</t>
        </r>
      </text>
    </comment>
    <comment ref="C58" authorId="0">
      <text>
        <r>
          <rPr>
            <sz val="10"/>
            <rFont val="Arial"/>
            <family val="2"/>
          </rPr>
          <t xml:space="preserve">Moderna Q2 2026 press release (8-K Ex. 99.1, Jul 31 2026): https://www.sec.gov/Archives/edgar/data/0001682852/000168285226000147/exhibit9912026q2pressrelea.htm</t>
        </r>
      </text>
    </comment>
    <comment ref="C59" authorId="0">
      <text>
        <r>
          <rPr>
            <sz val="10"/>
            <rFont val="Arial"/>
            <family val="2"/>
          </rPr>
          <t xml:space="preserve">Large-cap biopharma norm ~18-22%.</t>
        </r>
      </text>
    </comment>
    <comment ref="C60" authorId="0">
      <text>
        <r>
          <rPr>
            <sz val="10"/>
            <rFont val="Arial"/>
            <family val="2"/>
          </rPr>
          <t xml:space="preserve">Merck co-commercializes intismeran; assumption.</t>
        </r>
      </text>
    </comment>
    <comment ref="C61" authorId="0">
      <text>
        <r>
          <rPr>
            <sz val="10"/>
            <rFont val="Arial"/>
            <family val="2"/>
          </rPr>
          <t xml:space="preserve">GAAP opex less cash costs ~ $0.7bn incl. SBC; assumption.</t>
        </r>
      </text>
    </comment>
    <comment ref="C62" authorId="0">
      <text>
        <r>
          <rPr>
            <sz val="10"/>
            <rFont val="Arial"/>
            <family val="2"/>
          </rPr>
          <t xml:space="preserve">Assumption.</t>
        </r>
      </text>
    </comment>
    <comment ref="C63" authorId="0">
      <text>
        <r>
          <rPr>
            <sz val="10"/>
            <rFont val="Arial"/>
            <family val="2"/>
          </rPr>
          <t xml:space="preserve">2026 guidance $0.2-0.3bn capex.</t>
        </r>
      </text>
    </comment>
    <comment ref="C64" authorId="0">
      <text>
        <r>
          <rPr>
            <sz val="10"/>
            <rFont val="Arial"/>
            <family val="2"/>
          </rPr>
          <t xml:space="preserve">Assumption.</t>
        </r>
      </text>
    </comment>
    <comment ref="C65" authorId="0">
      <text>
        <r>
          <rPr>
            <sz val="10"/>
            <rFont val="Arial"/>
            <family val="2"/>
          </rPr>
          <t xml:space="preserve">Assumption.</t>
        </r>
      </text>
    </comment>
    <comment ref="C66" authorId="0">
      <text>
        <r>
          <rPr>
            <sz val="10"/>
            <rFont val="Arial"/>
            <family val="2"/>
          </rPr>
          <t xml:space="preserve">US federal statutory; assumption.</t>
        </r>
      </text>
    </comment>
    <comment ref="C67" authorId="0">
      <text>
        <r>
          <rPr>
            <sz val="10"/>
            <rFont val="Arial"/>
            <family val="2"/>
          </rPr>
          <t xml:space="preserve">Cumulative 2023-2026 losses ~US$14bn; usable amount is an estimate.</t>
        </r>
      </text>
    </comment>
    <comment ref="C68" authorId="0">
      <text>
        <r>
          <rPr>
            <sz val="10"/>
            <rFont val="Arial"/>
            <family val="2"/>
          </rPr>
          <t xml:space="preserve">Post-2017 US federal NOL rule.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FY2025 total revenue US$1.9bn. Moderna Q4/FY2025 press release (8-K Ex. 99.1, Feb 13 2026): https://www.sec.gov/Archives/edgar/data/1682852/000168285226000015/exhibit9912025q4pressrelea.htm</t>
        </r>
      </text>
    </comment>
    <comment ref="C8" authorId="0">
      <text>
        <r>
          <rPr>
            <sz val="10"/>
            <rFont val="Arial"/>
            <family val="2"/>
          </rPr>
          <t xml:space="preserve">2026 guide: up to 10% growth; modeled at +8% (consensus ~+8%).</t>
        </r>
      </text>
    </comment>
    <comment ref="C18" authorId="0">
      <text>
        <r>
          <rPr>
            <sz val="10"/>
            <rFont val="Arial"/>
            <family val="2"/>
          </rPr>
          <t xml:space="preserve">2026 guide US$1.7bn incl. US$0.9bn one-time settlement; modeled ex-settlement (~US$0.8bn). Moderna Q2 2026 press release (8-K Ex. 99.1, Jul 31 2026): https://www.sec.gov/Archives/edgar/data/0001682852/000168285226000147/exhibit9912026q2pressrelea.htm</t>
        </r>
      </text>
    </comment>
    <comment ref="C22" authorId="0">
      <text>
        <r>
          <rPr>
            <sz val="10"/>
            <rFont val="Arial"/>
            <family val="2"/>
          </rPr>
          <t xml:space="preserve">2026 guide ~US$2.9bn. Moderna Q2 2026 press release (8-K Ex. 99.1, Jul 31 2026): https://www.sec.gov/Archives/edgar/data/0001682852/000168285226000147/exhibit9912026q2pressrelea.htm</t>
        </r>
      </text>
    </comment>
    <comment ref="C23" authorId="0">
      <text>
        <r>
          <rPr>
            <sz val="10"/>
            <rFont val="Arial"/>
            <family val="2"/>
          </rPr>
          <t xml:space="preserve">2026 guide ~US$1.0bn. Moderna Q2 2026 press release (8-K Ex. 99.1, Jul 31 2026): https://www.sec.gov/Archives/edgar/data/0001682852/000168285226000147/exhibit9912026q2pressrelea.htm</t>
        </r>
      </text>
    </comment>
    <comment ref="D22" authorId="0">
      <text>
        <r>
          <rPr>
            <sz val="10"/>
            <rFont val="Arial"/>
            <family val="2"/>
          </rPr>
          <t xml:space="preserve">2027 GAAP opex guided US$4.2-4.6bn, later improved ~US$0.5bn; R&amp;D implied ~US$2.3-2.5bn. Moderna JPM 2026 update (8-K Ex. 99.1, Jan 12 2026): https://www.sec.gov/Archives/edgar/data/1682852/000168285226000007/exhibit991-01122026.htm</t>
        </r>
      </text>
    </comment>
    <comment ref="D23" authorId="0">
      <text>
        <r>
          <rPr>
            <sz val="10"/>
            <rFont val="Arial"/>
            <family val="2"/>
          </rPr>
          <t xml:space="preserve">Assumption: continued cost cuts.</t>
        </r>
      </text>
    </comment>
  </commentList>
</comments>
</file>

<file path=xl/sharedStrings.xml><?xml version="1.0" encoding="utf-8"?>
<sst xmlns="http://schemas.openxmlformats.org/spreadsheetml/2006/main" count="197" uniqueCount="170">
  <si>
    <t xml:space="preserve">Moderna (MRNA) - DCF valuation</t>
  </si>
  <si>
    <t xml:space="preserve">Valuation summary (US$ mm)</t>
  </si>
  <si>
    <t xml:space="preserve">Sum of PV of free cash flows, 2027-2040</t>
  </si>
  <si>
    <t xml:space="preserve">Terminal-year FCF x (1 + g)</t>
  </si>
  <si>
    <t xml:space="preserve">Terminal value at end-2040</t>
  </si>
  <si>
    <t xml:space="preserve">Discount period to end-2040 (years)</t>
  </si>
  <si>
    <t xml:space="preserve">PV of terminal value</t>
  </si>
  <si>
    <t xml:space="preserve">Enterprise value</t>
  </si>
  <si>
    <t xml:space="preserve">plus: net cash (YE2026E cash less debt)</t>
  </si>
  <si>
    <t xml:space="preserve">Equity value</t>
  </si>
  <si>
    <t xml:space="preserve">Diluted shares (mm)</t>
  </si>
  <si>
    <t xml:space="preserve">Implied value per share (US$)</t>
  </si>
  <si>
    <t xml:space="preserve">Current share price (US$)</t>
  </si>
  <si>
    <t xml:space="preserve">Upside / (downside)</t>
  </si>
  <si>
    <t xml:space="preserve">Diagnostics</t>
  </si>
  <si>
    <t xml:space="preserve">Terminal value as % of enterprise value</t>
  </si>
  <si>
    <t xml:space="preserve">Implied EV / 2040E revenue</t>
  </si>
  <si>
    <t xml:space="preserve">2040E revenue ($mm)</t>
  </si>
  <si>
    <t xml:space="preserve">2040E risk-adjusted intismeran revenue ($mm)</t>
  </si>
  <si>
    <t xml:space="preserve">2040E EBIT margin</t>
  </si>
  <si>
    <t xml:space="preserve">Market cap at current price ($mm)</t>
  </si>
  <si>
    <t xml:space="preserve">Market-implied enterprise value ($mm)</t>
  </si>
  <si>
    <t xml:space="preserve">Sensitivity - implied value per share (US$): WACC (rows) vs terminal growth (columns)</t>
  </si>
  <si>
    <t xml:space="preserve">WACC step / growth step</t>
  </si>
  <si>
    <t xml:space="preserve">WACC \ g</t>
  </si>
  <si>
    <t xml:space="preserve">Centre cell matches the live valuation above. Rows and columns are re-centred on the live WACC and growth rate.</t>
  </si>
  <si>
    <t xml:space="preserve">Moderna (MRNA) DCF - Inputs</t>
  </si>
  <si>
    <t xml:space="preserve">US$ millions unless stated. Blue = hard-coded input, black = formula, green = link from another sheet. Yellow = key lever. Hover over cells with a red corner for sources.</t>
  </si>
  <si>
    <t xml:space="preserve">Scenario selector</t>
  </si>
  <si>
    <t xml:space="preserve">Active scenario (1 = Bear, 2 = Base, 3 = Bull)</t>
  </si>
  <si>
    <t xml:space="preserve">Market data &amp; balance sheet</t>
  </si>
  <si>
    <t xml:space="preserve">Valuation date</t>
  </si>
  <si>
    <t xml:space="preserve">Model date.</t>
  </si>
  <si>
    <t xml:space="preserve">Share price (US$)</t>
  </si>
  <si>
    <t xml:space="preserve">Closing price Oct 2 2026 and market cap US$75.4bn: https://www.ad-hoc-news.de/boerse/news/corporate-news/moderna-stock-gained-0-57-percent-as-nasdaq-100-entry-nears/70226496</t>
  </si>
  <si>
    <t xml:space="preserve">Diluted shares outstanding (mm)</t>
  </si>
  <si>
    <t xml:space="preserve">Market cap US$75.4bn / price US$190.01. Closing price Oct 2 2026 and market cap US$75.4bn: https://www.ad-hoc-news.de/boerse/news/corporate-news/moderna-stock-gained-0-57-percent-as-nasdaq-100-entry-nears/70226496</t>
  </si>
  <si>
    <t xml:space="preserve">Cash &amp; investments, YE2026E ($mm)</t>
  </si>
  <si>
    <t xml:space="preserve">Midpoint of US$4.7-5.2bn year-end 2026 guidance (already net of the $950mm July 2026 settlement and remaining 2026 burn). Moderna Q2 2026 press release (8-K Ex. 99.1, Jul 31 2026): https://www.sec.gov/Archives/edgar/data/0001682852/000168285226000147/exhibit9912026q2pressrelea.htm</t>
  </si>
  <si>
    <t xml:space="preserve">Debt ($mm)</t>
  </si>
  <si>
    <t xml:space="preserve">US$0.6bn drawn on the US$1.5bn Ares term loan; balance sheet long-term debt US$591mm at Jun 30 2026. Moderna JPM 2026 update (8-K Ex. 99.1, Jan 12 2026): https://www.sec.gov/Archives/edgar/data/1682852/000168285226000007/exhibit991-01122026.htm</t>
  </si>
  <si>
    <t xml:space="preserve">Net cash ($mm)</t>
  </si>
  <si>
    <t xml:space="preserve">Market capitalization ($mm)</t>
  </si>
  <si>
    <t xml:space="preserve">Discount rate (WACC)</t>
  </si>
  <si>
    <t xml:space="preserve">Risk-free rate (10-yr UST)</t>
  </si>
  <si>
    <t xml:space="preserve">10-yr Treasury par yield 5.28% (Oct 2 2026): https://stockmarketwatch.com/bonds/10-year-treasury-yield</t>
  </si>
  <si>
    <t xml:space="preserve">Equity beta</t>
  </si>
  <si>
    <t xml:space="preserve">Assumption; MRNA's historical beta has ranged ~1.2-1.8.</t>
  </si>
  <si>
    <t xml:space="preserve">Equity risk premium</t>
  </si>
  <si>
    <t xml:space="preserve">Assumption (Damodaran-style implied ERP ~4.5-5.5%).</t>
  </si>
  <si>
    <t xml:space="preserve">Pre-tax cost of debt</t>
  </si>
  <si>
    <t xml:space="preserve">Approx. rate on Ares term loan; assumption.</t>
  </si>
  <si>
    <t xml:space="preserve">Cost of equity (CAPM)</t>
  </si>
  <si>
    <t xml:space="preserve">After-tax cost of debt</t>
  </si>
  <si>
    <t xml:space="preserve">Equity weight</t>
  </si>
  <si>
    <t xml:space="preserve">Debt weight</t>
  </si>
  <si>
    <t xml:space="preserve">WACC (calculated)</t>
  </si>
  <si>
    <t xml:space="preserve">WACC override (leave blank to use calculated)</t>
  </si>
  <si>
    <t xml:space="preserve">WACC used</t>
  </si>
  <si>
    <t xml:space="preserve">Scenario levers</t>
  </si>
  <si>
    <t xml:space="preserve">Lever</t>
  </si>
  <si>
    <t xml:space="preserve">Bear</t>
  </si>
  <si>
    <t xml:space="preserve">Base</t>
  </si>
  <si>
    <t xml:space="preserve">Bull</t>
  </si>
  <si>
    <t xml:space="preserve">Live</t>
  </si>
  <si>
    <t xml:space="preserve">Rationale / source</t>
  </si>
  <si>
    <t xml:space="preserve">Respiratory vaccines</t>
  </si>
  <si>
    <t xml:space="preserve">   Vaccine revenue growth 2027-2030</t>
  </si>
  <si>
    <t xml:space="preserve">Flu (mFLUSIVA), flu+COVID (mCOMBRIAX), norovirus launches drive growth; company targets up to 10% growth in 2026.</t>
  </si>
  <si>
    <t xml:space="preserve">   Vaccine revenue growth 2031-2035</t>
  </si>
  <si>
    <t xml:space="preserve">Assumption.</t>
  </si>
  <si>
    <t xml:space="preserve">   Vaccine revenue growth 2036-2040</t>
  </si>
  <si>
    <t xml:space="preserve">   Vaccine gross margin, steady state (from 2030)</t>
  </si>
  <si>
    <t xml:space="preserve">2026E ~62% (guided ~$0.8bn cost of sales ex. $0.9bn settlement on ~$2.1bn revenue); management expects manufacturing improvements to lift margins.</t>
  </si>
  <si>
    <t xml:space="preserve">Intismeran - adjuvant melanoma</t>
  </si>
  <si>
    <t xml:space="preserve">   Peak revenue to Moderna ($mm)</t>
  </si>
  <si>
    <t xml:space="preserve">Moderna's half of the Merck 50/50 profit share. William Blair models &gt;$5.4bn to Moderna by 2040.</t>
  </si>
  <si>
    <t xml:space="preserve">   Probability of approval</t>
  </si>
  <si>
    <t xml:space="preserve">Phase 3 INTerpath-001 met RFS primary endpoint (Aug 19 2026).</t>
  </si>
  <si>
    <t xml:space="preserve">Intismeran - NSCLC</t>
  </si>
  <si>
    <t xml:space="preserve">William Blair models ~$10bn to Moderna by 2040 (bull case).</t>
  </si>
  <si>
    <t xml:space="preserve">Phase 3 ongoing; assumption.</t>
  </si>
  <si>
    <t xml:space="preserve">Intismeran - RCC, bladder &amp; other</t>
  </si>
  <si>
    <t xml:space="preserve">William Blair models ~$3.3bn RCC to Moderna by 2040 (bull case).</t>
  </si>
  <si>
    <t xml:space="preserve">Phase 2/3 ongoing; assumption.</t>
  </si>
  <si>
    <t xml:space="preserve">Intismeran economics &amp; terminal value</t>
  </si>
  <si>
    <t xml:space="preserve">   Intismeran cost of sales (% of Moderna revenue)</t>
  </si>
  <si>
    <t xml:space="preserve">Individualized manufacturing is costlier than vaccines; assumption.</t>
  </si>
  <si>
    <t xml:space="preserve">   Terminal growth rate</t>
  </si>
  <si>
    <t xml:space="preserve">Applied after 2040.</t>
  </si>
  <si>
    <t xml:space="preserve">Cost base</t>
  </si>
  <si>
    <t xml:space="preserve">   R&amp;D floor ($mm, from 2028)</t>
  </si>
  <si>
    <t xml:space="preserve">Bear: management has said it would cut costs further if sales miss. Bull: more oncology investment.</t>
  </si>
  <si>
    <t xml:space="preserve">   SG&amp;A floor ($mm, from 2028)</t>
  </si>
  <si>
    <t xml:space="preserve">2026E guidance ~$1.0bn; continued cuts.</t>
  </si>
  <si>
    <t xml:space="preserve">Operating assumptions (all scenarios)</t>
  </si>
  <si>
    <t xml:space="preserve">Launch year - melanoma</t>
  </si>
  <si>
    <t xml:space="preserve">Assumes filing after Phase 3 interim; approval in 2027-28.</t>
  </si>
  <si>
    <t xml:space="preserve">Launch year - NSCLC</t>
  </si>
  <si>
    <t xml:space="preserve">Launch year - RCC, bladder &amp; other</t>
  </si>
  <si>
    <t xml:space="preserve">Years from launch to peak</t>
  </si>
  <si>
    <t xml:space="preserve">Linear ramp; assumption.</t>
  </si>
  <si>
    <t xml:space="preserve">Vaccine gross margin 2026E</t>
  </si>
  <si>
    <t xml:space="preserve">Moderna Q2 2026 press release (8-K Ex. 99.1, Jul 31 2026): https://www.sec.gov/Archives/edgar/data/0001682852/000168285226000147/exhibit9912026q2pressrelea.htm</t>
  </si>
  <si>
    <t xml:space="preserve">R&amp;D as % of revenue (if above floor)</t>
  </si>
  <si>
    <t xml:space="preserve">Large-cap biopharma norm ~18-22%.</t>
  </si>
  <si>
    <t xml:space="preserve">SG&amp;A as % of revenue (if above floor)</t>
  </si>
  <si>
    <t xml:space="preserve">Merck co-commercializes intismeran; assumption.</t>
  </si>
  <si>
    <t xml:space="preserve">D&amp;A floor ($mm)</t>
  </si>
  <si>
    <t xml:space="preserve">GAAP opex less cash costs ~ $0.7bn incl. SBC; assumption.</t>
  </si>
  <si>
    <t xml:space="preserve">D&amp;A as % of revenue</t>
  </si>
  <si>
    <t xml:space="preserve">Capex floor ($mm)</t>
  </si>
  <si>
    <t xml:space="preserve">2026 guidance $0.2-0.3bn capex.</t>
  </si>
  <si>
    <t xml:space="preserve">Capex as % of revenue</t>
  </si>
  <si>
    <t xml:space="preserve">Net working capital, % of revenue change</t>
  </si>
  <si>
    <t xml:space="preserve">Long-run cash tax rate</t>
  </si>
  <si>
    <t xml:space="preserve">US federal statutory; assumption.</t>
  </si>
  <si>
    <t xml:space="preserve">Usable NOLs at YE2026 ($mm)</t>
  </si>
  <si>
    <t xml:space="preserve">Cumulative 2023-2026 losses ~US$14bn; usable amount is an estimate.</t>
  </si>
  <si>
    <t xml:space="preserve">NOL usage cap (% of taxable income)</t>
  </si>
  <si>
    <t xml:space="preserve">Post-2017 US federal NOL rule.</t>
  </si>
  <si>
    <t xml:space="preserve">Moderna (MRNA) - Operating model &amp; free cash flow (US$ mm)</t>
  </si>
  <si>
    <t xml:space="preserve">Fiscal year (Dec)</t>
  </si>
  <si>
    <t xml:space="preserve">Actual</t>
  </si>
  <si>
    <t xml:space="preserve">Guide</t>
  </si>
  <si>
    <t xml:space="preserve">Forecast</t>
  </si>
  <si>
    <t xml:space="preserve">Revenue</t>
  </si>
  <si>
    <t xml:space="preserve">Respiratory vaccines (COVID, RSV, flu, combo, noro)</t>
  </si>
  <si>
    <t xml:space="preserve">Intismeran - melanoma (risk-adjusted, Moderna share)</t>
  </si>
  <si>
    <t xml:space="preserve">Intismeran - NSCLC (risk-adjusted)</t>
  </si>
  <si>
    <t xml:space="preserve">Intismeran - RCC, bladder &amp; other (risk-adjusted)</t>
  </si>
  <si>
    <t xml:space="preserve">Total intismeran</t>
  </si>
  <si>
    <t xml:space="preserve">Total revenue</t>
  </si>
  <si>
    <t xml:space="preserve">   growth %</t>
  </si>
  <si>
    <t xml:space="preserve">Operating costs</t>
  </si>
  <si>
    <t xml:space="preserve">Vaccine gross margin %</t>
  </si>
  <si>
    <t xml:space="preserve">Cost of sales - vaccines</t>
  </si>
  <si>
    <t xml:space="preserve">Cost of sales - intismeran</t>
  </si>
  <si>
    <t xml:space="preserve">Gross profit</t>
  </si>
  <si>
    <t xml:space="preserve">   gross margin %</t>
  </si>
  <si>
    <t xml:space="preserve">Research &amp; development</t>
  </si>
  <si>
    <t xml:space="preserve">Selling, general &amp; administrative</t>
  </si>
  <si>
    <t xml:space="preserve">Operating income (EBIT)</t>
  </si>
  <si>
    <t xml:space="preserve">   EBIT margin %</t>
  </si>
  <si>
    <t xml:space="preserve">Cash taxes (NOL shield)</t>
  </si>
  <si>
    <t xml:space="preserve">NOL balance - beginning</t>
  </si>
  <si>
    <t xml:space="preserve">NOL utilized</t>
  </si>
  <si>
    <t xml:space="preserve">NOL balance - ending</t>
  </si>
  <si>
    <t xml:space="preserve">Taxable income</t>
  </si>
  <si>
    <t xml:space="preserve">Cash taxes</t>
  </si>
  <si>
    <t xml:space="preserve">Unlevered free cash flow</t>
  </si>
  <si>
    <t xml:space="preserve">EBIT</t>
  </si>
  <si>
    <t xml:space="preserve">less: cash taxes</t>
  </si>
  <si>
    <t xml:space="preserve">plus: D&amp;A</t>
  </si>
  <si>
    <t xml:space="preserve">less: capital expenditures</t>
  </si>
  <si>
    <t xml:space="preserve">less: increase in net working capital</t>
  </si>
  <si>
    <t xml:space="preserve">Discounting (mid-year convention, from valuation date)</t>
  </si>
  <si>
    <t xml:space="preserve">Discount period (years)</t>
  </si>
  <si>
    <t xml:space="preserve">Discount factor</t>
  </si>
  <si>
    <t xml:space="preserve">PV of free cash flow</t>
  </si>
  <si>
    <t xml:space="preserve">Sources and notes</t>
  </si>
  <si>
    <t xml:space="preserve">Moderna Q4/FY2025 press release (8-K Ex. 99.1, Feb 13 2026): https://www.sec.gov/Archives/edgar/data/1682852/000168285226000015/exhibit9912025q4pressrelea.htm</t>
  </si>
  <si>
    <t xml:space="preserve">Moderna JPM 2026 update (8-K Ex. 99.1, Jan 12 2026): https://www.sec.gov/Archives/edgar/data/1682852/000168285226000007/exhibit991-01122026.htm</t>
  </si>
  <si>
    <t xml:space="preserve">William Blair (Aug 2026) 2040 intismeran sales to Moderna after 50/50 Merck profit share: melanoma &gt;$5.4bn, NSCLC ~$10bn, RCC ~$3.3bn: https://www.benzinga.com/analyst-stock-ratings/upgrades/26/08/61333408/modernas-intismeran-close-to-keytruda-style-oncology-opportunity-analyst</t>
  </si>
  <si>
    <t xml:space="preserve">Method notes:</t>
  </si>
  <si>
    <t xml:space="preserve">- Valued on unlevered FCF for 2027-2040; 2026 is shown for reference only because its remaining cash burn is already reflected in the YE2026 cash guidance used in the equity bridge.</t>
  </si>
  <si>
    <t xml:space="preserve">- Intismeran revenue = Moderna's share under the 50/50 Merck collaboration, ramped linearly to peak and multiplied by probability of approval (risk-adjusted).</t>
  </si>
  <si>
    <t xml:space="preserve">- Stock-based compensation is treated as a real cost (left inside opex, not added back).</t>
  </si>
  <si>
    <t xml:space="preserve">- Interest income on cash is excluded from FCF; cash enters through the equity bridge.</t>
  </si>
  <si>
    <t xml:space="preserve">- Not investment advice. All forecasts and probabilities are illustrative assumptions.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</si>
</sst>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&quot;($&quot;#,##0\);\-"/>
    <numFmt numFmtId="166" formatCode="0.000"/>
    <numFmt numFmtId="167" formatCode="#,##0.0;\(#,##0.0\);\-"/>
    <numFmt numFmtId="168" formatCode="\$#,##0.00;&quot;($&quot;#,##0.00\);\-"/>
    <numFmt numFmtId="169" formatCode="0.0%;\(0.0%\);\-"/>
    <numFmt numFmtId="170" formatCode="0.00\x"/>
    <numFmt numFmtId="171" formatCode="#,##0;\(#,##0\);\-"/>
    <numFmt numFmtId="172" formatCode="yyyy\-mm\-dd"/>
    <numFmt numFmtId="173" formatCode="0.00"/>
    <numFmt numFmtId="174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9" min="3" style="0" width="13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tr">
        <f aca="false">"Scenario: "&amp;Inputs!$D$6&amp;"   |   WACC "&amp;TEXT(Inputs!$C$28,"0.0%")&amp;"   |   terminal growth "&amp;TEXT(Inputs!$F$48,"0.0%")</f>
        <v>Scenario: Base   |   WACC 11.7%   |   terminal growth 2.5%</v>
      </c>
    </row>
    <row r="3" customFormat="false" ht="15" hidden="false" customHeight="false" outlineLevel="0" collapsed="false">
      <c r="A3" s="3" t="s">
        <v>1</v>
      </c>
      <c r="B3" s="4"/>
      <c r="C3" s="4"/>
      <c r="D3" s="4"/>
      <c r="E3" s="4"/>
      <c r="F3" s="4"/>
      <c r="G3" s="4"/>
      <c r="H3" s="4"/>
      <c r="I3" s="4"/>
    </row>
    <row r="4" customFormat="false" ht="15" hidden="false" customHeight="false" outlineLevel="0" collapsed="false">
      <c r="B4" s="5" t="s">
        <v>2</v>
      </c>
      <c r="C4" s="6" t="n">
        <f aca="false">SUM(Model!$D$45:$Q$45)</f>
        <v>6511.40321865282</v>
      </c>
    </row>
    <row r="5" customFormat="false" ht="15" hidden="false" customHeight="false" outlineLevel="0" collapsed="false">
      <c r="B5" s="5" t="s">
        <v>3</v>
      </c>
      <c r="C5" s="7" t="n">
        <f aca="false">Model!$Q$40*(1+Inputs!$F$48)</f>
        <v>3125.97646599815</v>
      </c>
    </row>
    <row r="6" customFormat="false" ht="15" hidden="false" customHeight="false" outlineLevel="0" collapsed="false">
      <c r="B6" s="5" t="s">
        <v>4</v>
      </c>
      <c r="C6" s="7" t="n">
        <f aca="false">C5/(Inputs!$C$28-Inputs!$F$48)</f>
        <v>33819.4521986253</v>
      </c>
    </row>
    <row r="7" customFormat="false" ht="15" hidden="false" customHeight="false" outlineLevel="0" collapsed="false">
      <c r="B7" s="5" t="s">
        <v>5</v>
      </c>
      <c r="C7" s="8" t="n">
        <f aca="false">(DATE(Model!$Q$4,12,31)-Inputs!$C$9)/365</f>
        <v>14.2493150684932</v>
      </c>
    </row>
    <row r="8" customFormat="false" ht="15" hidden="false" customHeight="false" outlineLevel="0" collapsed="false">
      <c r="B8" s="5" t="s">
        <v>6</v>
      </c>
      <c r="C8" s="7" t="n">
        <f aca="false">C6/(1+Inputs!$C$28)^C7</f>
        <v>6951.08584723448</v>
      </c>
    </row>
    <row r="9" customFormat="false" ht="15" hidden="false" customHeight="false" outlineLevel="0" collapsed="false">
      <c r="B9" s="9" t="s">
        <v>7</v>
      </c>
      <c r="C9" s="10" t="n">
        <f aca="false">C4+C8</f>
        <v>13462.4890658873</v>
      </c>
    </row>
    <row r="10" customFormat="false" ht="15" hidden="false" customHeight="false" outlineLevel="0" collapsed="false">
      <c r="B10" s="5" t="s">
        <v>8</v>
      </c>
      <c r="C10" s="6" t="n">
        <f aca="false">Inputs!$C$14</f>
        <v>4350</v>
      </c>
    </row>
    <row r="11" customFormat="false" ht="15" hidden="false" customHeight="false" outlineLevel="0" collapsed="false">
      <c r="B11" s="9" t="s">
        <v>9</v>
      </c>
      <c r="C11" s="10" t="n">
        <f aca="false">C9+C10</f>
        <v>17812.4890658873</v>
      </c>
    </row>
    <row r="12" customFormat="false" ht="15" hidden="false" customHeight="false" outlineLevel="0" collapsed="false">
      <c r="B12" s="5" t="s">
        <v>10</v>
      </c>
      <c r="C12" s="11" t="n">
        <f aca="false">Inputs!$C$11</f>
        <v>396.821219935793</v>
      </c>
    </row>
    <row r="13" customFormat="false" ht="15" hidden="false" customHeight="false" outlineLevel="0" collapsed="false">
      <c r="B13" s="9" t="s">
        <v>11</v>
      </c>
      <c r="C13" s="12" t="n">
        <f aca="false">C11/C12</f>
        <v>44.8879449258521</v>
      </c>
    </row>
    <row r="14" customFormat="false" ht="15" hidden="false" customHeight="false" outlineLevel="0" collapsed="false">
      <c r="B14" s="5" t="s">
        <v>12</v>
      </c>
      <c r="C14" s="13" t="n">
        <f aca="false">Inputs!$C$10</f>
        <v>190.01</v>
      </c>
    </row>
    <row r="15" customFormat="false" ht="15" hidden="false" customHeight="false" outlineLevel="0" collapsed="false">
      <c r="B15" s="9" t="s">
        <v>13</v>
      </c>
      <c r="C15" s="14" t="n">
        <f aca="false">C13/C14-1</f>
        <v>-0.76376009196436</v>
      </c>
    </row>
    <row r="17" customFormat="false" ht="15" hidden="false" customHeight="false" outlineLevel="0" collapsed="false">
      <c r="A17" s="3" t="s">
        <v>14</v>
      </c>
      <c r="B17" s="4"/>
      <c r="C17" s="4"/>
      <c r="D17" s="4"/>
      <c r="E17" s="4"/>
      <c r="F17" s="4"/>
      <c r="G17" s="4"/>
      <c r="H17" s="4"/>
      <c r="I17" s="4"/>
    </row>
    <row r="18" customFormat="false" ht="15" hidden="false" customHeight="false" outlineLevel="0" collapsed="false">
      <c r="B18" s="5" t="s">
        <v>15</v>
      </c>
      <c r="C18" s="15" t="n">
        <f aca="false">IF(C9=0,0,C8/C9)</f>
        <v>0.516329915902988</v>
      </c>
    </row>
    <row r="19" customFormat="false" ht="15" hidden="false" customHeight="false" outlineLevel="0" collapsed="false">
      <c r="B19" s="5" t="s">
        <v>16</v>
      </c>
      <c r="C19" s="16" t="n">
        <f aca="false">IF(Model!$Q$13=0,0,C9/Model!$Q$13)</f>
        <v>1.26861969909089</v>
      </c>
    </row>
    <row r="20" customFormat="false" ht="15" hidden="false" customHeight="false" outlineLevel="0" collapsed="false">
      <c r="B20" s="5" t="s">
        <v>17</v>
      </c>
      <c r="C20" s="6" t="n">
        <f aca="false">Model!$Q$13</f>
        <v>10611.9186668272</v>
      </c>
    </row>
    <row r="21" customFormat="false" ht="15" hidden="false" customHeight="false" outlineLevel="0" collapsed="false">
      <c r="B21" s="5" t="s">
        <v>18</v>
      </c>
      <c r="C21" s="6" t="n">
        <f aca="false">Model!$Q$12</f>
        <v>6775</v>
      </c>
    </row>
    <row r="22" customFormat="false" ht="15" hidden="false" customHeight="false" outlineLevel="0" collapsed="false">
      <c r="B22" s="5" t="s">
        <v>19</v>
      </c>
      <c r="C22" s="17" t="n">
        <f aca="false">Model!$Q$25</f>
        <v>0.36768251019634</v>
      </c>
    </row>
    <row r="23" customFormat="false" ht="15" hidden="false" customHeight="false" outlineLevel="0" collapsed="false">
      <c r="B23" s="5" t="s">
        <v>20</v>
      </c>
      <c r="C23" s="6" t="n">
        <f aca="false">Inputs!$C$15</f>
        <v>75400</v>
      </c>
    </row>
    <row r="24" customFormat="false" ht="15" hidden="false" customHeight="false" outlineLevel="0" collapsed="false">
      <c r="B24" s="5" t="s">
        <v>21</v>
      </c>
      <c r="C24" s="6" t="n">
        <f aca="false">C23-Inputs!$C$14</f>
        <v>71050</v>
      </c>
    </row>
    <row r="27" customFormat="false" ht="15" hidden="false" customHeight="false" outlineLevel="0" collapsed="false">
      <c r="A27" s="3" t="s">
        <v>22</v>
      </c>
      <c r="B27" s="4"/>
      <c r="C27" s="4"/>
      <c r="D27" s="4"/>
      <c r="E27" s="4"/>
      <c r="F27" s="4"/>
      <c r="G27" s="4"/>
      <c r="H27" s="4"/>
      <c r="I27" s="4"/>
    </row>
    <row r="28" customFormat="false" ht="15" hidden="false" customHeight="false" outlineLevel="0" collapsed="false">
      <c r="B28" s="5" t="s">
        <v>23</v>
      </c>
      <c r="C28" s="18" t="n">
        <v>0.01</v>
      </c>
      <c r="D28" s="18" t="n">
        <v>0.005</v>
      </c>
    </row>
    <row r="29" customFormat="false" ht="15" hidden="false" customHeight="false" outlineLevel="0" collapsed="false">
      <c r="B29" s="9" t="s">
        <v>24</v>
      </c>
      <c r="C29" s="19" t="n">
        <f aca="false">Inputs!$F$48+(0-2)*$D$28</f>
        <v>0.015</v>
      </c>
      <c r="D29" s="19" t="n">
        <f aca="false">Inputs!$F$48+(1-2)*$D$28</f>
        <v>0.02</v>
      </c>
      <c r="E29" s="19" t="n">
        <f aca="false">Inputs!$F$48+(2-2)*$D$28</f>
        <v>0.025</v>
      </c>
      <c r="F29" s="19" t="n">
        <f aca="false">Inputs!$F$48+(3-2)*$D$28</f>
        <v>0.03</v>
      </c>
      <c r="G29" s="19" t="n">
        <f aca="false">Inputs!$F$48+(4-2)*$D$28</f>
        <v>0.035</v>
      </c>
    </row>
    <row r="30" customFormat="false" ht="15" hidden="false" customHeight="false" outlineLevel="0" collapsed="false">
      <c r="B30" s="19" t="n">
        <f aca="false">Inputs!$C$28+(0-3)*$C$28</f>
        <v>0.0874313157894737</v>
      </c>
      <c r="C30" s="20" t="n">
        <f aca="false">(SUMPRODUCT(Model!$D$40:$Q$40,1/(1+$B30)^Model!$D$43:$Q$43)+Model!$Q$40*(1+C$29)/($B30-C$29)/(1+$B30)^$C$7+Inputs!$C$14)/Inputs!$C$11</f>
        <v>66.5383049740272</v>
      </c>
      <c r="D30" s="20" t="n">
        <f aca="false">(SUMPRODUCT(Model!$D$40:$Q$40,1/(1+$B30)^Model!$D$43:$Q$43)+Model!$Q$40*(1+D$29)/($B30-D$29)/(1+$B30)^$C$7+Inputs!$C$14)/Inputs!$C$11</f>
        <v>69.1297950907021</v>
      </c>
      <c r="E30" s="20" t="n">
        <f aca="false">(SUMPRODUCT(Model!$D$40:$Q$40,1/(1+$B30)^Model!$D$43:$Q$43)+Model!$Q$40*(1+E$29)/($B30-E$29)/(1+$B30)^$C$7+Inputs!$C$14)/Inputs!$C$11</f>
        <v>72.1363797931475</v>
      </c>
      <c r="F30" s="20" t="n">
        <f aca="false">(SUMPRODUCT(Model!$D$40:$Q$40,1/(1+$B30)^Model!$D$43:$Q$43)+Model!$Q$40*(1+F$29)/($B30-F$29)/(1+$B30)^$C$7+Inputs!$C$14)/Inputs!$C$11</f>
        <v>75.6664741281195</v>
      </c>
      <c r="G30" s="20" t="n">
        <f aca="false">(SUMPRODUCT(Model!$D$40:$Q$40,1/(1+$B30)^Model!$D$43:$Q$43)+Model!$Q$40*(1+G$29)/($B30-G$29)/(1+$B30)^$C$7+Inputs!$C$14)/Inputs!$C$11</f>
        <v>79.8698482161966</v>
      </c>
    </row>
    <row r="31" customFormat="false" ht="15" hidden="false" customHeight="false" outlineLevel="0" collapsed="false">
      <c r="B31" s="19" t="n">
        <f aca="false">Inputs!$C$28+(1-3)*$C$28</f>
        <v>0.0974313157894737</v>
      </c>
      <c r="C31" s="20" t="n">
        <f aca="false">(SUMPRODUCT(Model!$D$40:$Q$40,1/(1+$B31)^Model!$D$43:$Q$43)+Model!$Q$40*(1+C$29)/($B31-C$29)/(1+$B31)^$C$7+Inputs!$C$14)/Inputs!$C$11</f>
        <v>56.6687203856571</v>
      </c>
      <c r="D31" s="20" t="n">
        <f aca="false">(SUMPRODUCT(Model!$D$40:$Q$40,1/(1+$B31)^Model!$D$43:$Q$43)+Model!$Q$40*(1+D$29)/($B31-D$29)/(1+$B31)^$C$7+Inputs!$C$14)/Inputs!$C$11</f>
        <v>58.4252515802387</v>
      </c>
      <c r="E31" s="20" t="n">
        <f aca="false">(SUMPRODUCT(Model!$D$40:$Q$40,1/(1+$B31)^Model!$D$43:$Q$43)+Model!$Q$40*(1+E$29)/($B31-E$29)/(1+$B31)^$C$7+Inputs!$C$14)/Inputs!$C$11</f>
        <v>60.4242926858217</v>
      </c>
      <c r="F31" s="20" t="n">
        <f aca="false">(SUMPRODUCT(Model!$D$40:$Q$40,1/(1+$B31)^Model!$D$43:$Q$43)+Model!$Q$40*(1+F$29)/($B31-F$29)/(1+$B31)^$C$7+Inputs!$C$14)/Inputs!$C$11</f>
        <v>62.7197896861441</v>
      </c>
      <c r="G31" s="20" t="n">
        <f aca="false">(SUMPRODUCT(Model!$D$40:$Q$40,1/(1+$B31)^Model!$D$43:$Q$43)+Model!$Q$40*(1+G$29)/($B31-G$29)/(1+$B31)^$C$7+Inputs!$C$14)/Inputs!$C$11</f>
        <v>65.3829702714263</v>
      </c>
    </row>
    <row r="32" customFormat="false" ht="15" hidden="false" customHeight="false" outlineLevel="0" collapsed="false">
      <c r="B32" s="19" t="n">
        <f aca="false">Inputs!$C$28+(2-3)*$C$28</f>
        <v>0.107431315789474</v>
      </c>
      <c r="C32" s="20" t="n">
        <f aca="false">(SUMPRODUCT(Model!$D$40:$Q$40,1/(1+$B32)^Model!$D$43:$Q$43)+Model!$Q$40*(1+C$29)/($B32-C$29)/(1+$B32)^$C$7+Inputs!$C$14)/Inputs!$C$11</f>
        <v>49.0527973460891</v>
      </c>
      <c r="D32" s="20" t="n">
        <f aca="false">(SUMPRODUCT(Model!$D$40:$Q$40,1/(1+$B32)^Model!$D$43:$Q$43)+Model!$Q$40*(1+D$29)/($B32-D$29)/(1+$B32)^$C$7+Inputs!$C$14)/Inputs!$C$11</f>
        <v>50.2830195347466</v>
      </c>
      <c r="E32" s="20" t="n">
        <f aca="false">(SUMPRODUCT(Model!$D$40:$Q$40,1/(1+$B32)^Model!$D$43:$Q$43)+Model!$Q$40*(1+E$29)/($B32-E$29)/(1+$B32)^$C$7+Inputs!$C$14)/Inputs!$C$11</f>
        <v>51.6624838138493</v>
      </c>
      <c r="F32" s="20" t="n">
        <f aca="false">(SUMPRODUCT(Model!$D$40:$Q$40,1/(1+$B32)^Model!$D$43:$Q$43)+Model!$Q$40*(1+F$29)/($B32-F$29)/(1+$B32)^$C$7+Inputs!$C$14)/Inputs!$C$11</f>
        <v>53.2201013717693</v>
      </c>
      <c r="G32" s="20" t="n">
        <f aca="false">(SUMPRODUCT(Model!$D$40:$Q$40,1/(1+$B32)^Model!$D$43:$Q$43)+Model!$Q$40*(1+G$29)/($B32-G$29)/(1+$B32)^$C$7+Inputs!$C$14)/Inputs!$C$11</f>
        <v>54.992766460021</v>
      </c>
    </row>
    <row r="33" customFormat="false" ht="15" hidden="false" customHeight="false" outlineLevel="0" collapsed="false">
      <c r="B33" s="19" t="n">
        <f aca="false">Inputs!$C$28+(3-3)*$C$28</f>
        <v>0.117431315789474</v>
      </c>
      <c r="C33" s="20" t="n">
        <f aca="false">(SUMPRODUCT(Model!$D$40:$Q$40,1/(1+$B33)^Model!$D$43:$Q$43)+Model!$Q$40*(1+C$29)/($B33-C$29)/(1+$B33)^$C$7+Inputs!$C$14)/Inputs!$C$11</f>
        <v>43.0236183710643</v>
      </c>
      <c r="D33" s="20" t="n">
        <f aca="false">(SUMPRODUCT(Model!$D$40:$Q$40,1/(1+$B33)^Model!$D$43:$Q$43)+Model!$Q$40*(1+D$29)/($B33-D$29)/(1+$B33)^$C$7+Inputs!$C$14)/Inputs!$C$11</f>
        <v>43.9079447045639</v>
      </c>
      <c r="E33" s="21" t="n">
        <f aca="false">(SUMPRODUCT(Model!$D$40:$Q$40,1/(1+$B33)^Model!$D$43:$Q$43)+Model!$Q$40*(1+E$29)/($B33-E$29)/(1+$B33)^$C$7+Inputs!$C$14)/Inputs!$C$11</f>
        <v>44.8879449258521</v>
      </c>
      <c r="F33" s="20" t="n">
        <f aca="false">(SUMPRODUCT(Model!$D$40:$Q$40,1/(1+$B33)^Model!$D$43:$Q$43)+Model!$Q$40*(1+F$29)/($B33-F$29)/(1+$B33)^$C$7+Inputs!$C$14)/Inputs!$C$11</f>
        <v>45.9800331573045</v>
      </c>
      <c r="G33" s="20" t="n">
        <f aca="false">(SUMPRODUCT(Model!$D$40:$Q$40,1/(1+$B33)^Model!$D$43:$Q$43)+Model!$Q$40*(1+G$29)/($B33-G$29)/(1+$B33)^$C$7+Inputs!$C$14)/Inputs!$C$11</f>
        <v>47.2046060180501</v>
      </c>
    </row>
    <row r="34" customFormat="false" ht="15" hidden="false" customHeight="false" outlineLevel="0" collapsed="false">
      <c r="B34" s="19" t="n">
        <f aca="false">Inputs!$C$28+(4-3)*$C$28</f>
        <v>0.127431315789474</v>
      </c>
      <c r="C34" s="20" t="n">
        <f aca="false">(SUMPRODUCT(Model!$D$40:$Q$40,1/(1+$B34)^Model!$D$43:$Q$43)+Model!$Q$40*(1+C$29)/($B34-C$29)/(1+$B34)^$C$7+Inputs!$C$14)/Inputs!$C$11</f>
        <v>38.1521835759914</v>
      </c>
      <c r="D34" s="20" t="n">
        <f aca="false">(SUMPRODUCT(Model!$D$40:$Q$40,1/(1+$B34)^Model!$D$43:$Q$43)+Model!$Q$40*(1+D$29)/($B34-D$29)/(1+$B34)^$C$7+Inputs!$C$14)/Inputs!$C$11</f>
        <v>38.8015064517454</v>
      </c>
      <c r="E34" s="20" t="n">
        <f aca="false">(SUMPRODUCT(Model!$D$40:$Q$40,1/(1+$B34)^Model!$D$43:$Q$43)+Model!$Q$40*(1+E$29)/($B34-E$29)/(1+$B34)^$C$7+Inputs!$C$14)/Inputs!$C$11</f>
        <v>39.5142203784442</v>
      </c>
      <c r="F34" s="20" t="n">
        <f aca="false">(SUMPRODUCT(Model!$D$40:$Q$40,1/(1+$B34)^Model!$D$43:$Q$43)+Model!$Q$40*(1+F$29)/($B34-F$29)/(1+$B34)^$C$7+Inputs!$C$14)/Inputs!$C$11</f>
        <v>40.3000847004674</v>
      </c>
      <c r="G34" s="20" t="n">
        <f aca="false">(SUMPRODUCT(Model!$D$40:$Q$40,1/(1+$B34)^Model!$D$43:$Q$43)+Model!$Q$40*(1+G$29)/($B34-G$29)/(1+$B34)^$C$7+Inputs!$C$14)/Inputs!$C$11</f>
        <v>41.1709704587118</v>
      </c>
    </row>
    <row r="35" customFormat="false" ht="15" hidden="false" customHeight="false" outlineLevel="0" collapsed="false">
      <c r="B35" s="19" t="n">
        <f aca="false">Inputs!$C$28+(5-3)*$C$28</f>
        <v>0.137431315789474</v>
      </c>
      <c r="C35" s="20" t="n">
        <f aca="false">(SUMPRODUCT(Model!$D$40:$Q$40,1/(1+$B35)^Model!$D$43:$Q$43)+Model!$Q$40*(1+C$29)/($B35-C$29)/(1+$B35)^$C$7+Inputs!$C$14)/Inputs!$C$11</f>
        <v>34.1501579159166</v>
      </c>
      <c r="D35" s="20" t="n">
        <f aca="false">(SUMPRODUCT(Model!$D$40:$Q$40,1/(1+$B35)^Model!$D$43:$Q$43)+Model!$Q$40*(1+D$29)/($B35-D$29)/(1+$B35)^$C$7+Inputs!$C$14)/Inputs!$C$11</f>
        <v>34.6354354281882</v>
      </c>
      <c r="E35" s="20" t="n">
        <f aca="false">(SUMPRODUCT(Model!$D$40:$Q$40,1/(1+$B35)^Model!$D$43:$Q$43)+Model!$Q$40*(1+E$29)/($B35-E$29)/(1+$B35)^$C$7+Inputs!$C$14)/Inputs!$C$11</f>
        <v>35.1638750709448</v>
      </c>
      <c r="F35" s="20" t="n">
        <f aca="false">(SUMPRODUCT(Model!$D$40:$Q$40,1/(1+$B35)^Model!$D$43:$Q$43)+Model!$Q$40*(1+F$29)/($B35-F$29)/(1+$B35)^$C$7+Inputs!$C$14)/Inputs!$C$11</f>
        <v>35.7415033174967</v>
      </c>
      <c r="G35" s="20" t="n">
        <f aca="false">(SUMPRODUCT(Model!$D$40:$Q$40,1/(1+$B35)^Model!$D$43:$Q$43)+Model!$Q$40*(1+G$29)/($B35-G$29)/(1+$B35)^$C$7+Inputs!$C$14)/Inputs!$C$11</f>
        <v>36.3755233268703</v>
      </c>
    </row>
    <row r="36" customFormat="false" ht="15" hidden="false" customHeight="false" outlineLevel="0" collapsed="false">
      <c r="B36" s="19" t="n">
        <f aca="false">Inputs!$C$28+(6-3)*$C$28</f>
        <v>0.147431315789474</v>
      </c>
      <c r="C36" s="20" t="n">
        <f aca="false">(SUMPRODUCT(Model!$D$40:$Q$40,1/(1+$B36)^Model!$D$43:$Q$43)+Model!$Q$40*(1+C$29)/($B36-C$29)/(1+$B36)^$C$7+Inputs!$C$14)/Inputs!$C$11</f>
        <v>30.8166949786553</v>
      </c>
      <c r="D36" s="20" t="n">
        <f aca="false">(SUMPRODUCT(Model!$D$40:$Q$40,1/(1+$B36)^Model!$D$43:$Q$43)+Model!$Q$40*(1+D$29)/($B36-D$29)/(1+$B36)^$C$7+Inputs!$C$14)/Inputs!$C$11</f>
        <v>31.1848512875038</v>
      </c>
      <c r="E36" s="20" t="n">
        <f aca="false">(SUMPRODUCT(Model!$D$40:$Q$40,1/(1+$B36)^Model!$D$43:$Q$43)+Model!$Q$40*(1+E$29)/($B36-E$29)/(1+$B36)^$C$7+Inputs!$C$14)/Inputs!$C$11</f>
        <v>31.5830780327005</v>
      </c>
      <c r="F36" s="20" t="n">
        <f aca="false">(SUMPRODUCT(Model!$D$40:$Q$40,1/(1+$B36)^Model!$D$43:$Q$43)+Model!$Q$40*(1+F$29)/($B36-F$29)/(1+$B36)^$C$7+Inputs!$C$14)/Inputs!$C$11</f>
        <v>32.0152162386112</v>
      </c>
      <c r="G36" s="20" t="n">
        <f aca="false">(SUMPRODUCT(Model!$D$40:$Q$40,1/(1+$B36)^Model!$D$43:$Q$43)+Model!$Q$40*(1+G$29)/($B36-G$29)/(1+$B36)^$C$7+Inputs!$C$14)/Inputs!$C$11</f>
        <v>32.4857901955291</v>
      </c>
    </row>
    <row r="38" customFormat="false" ht="15" hidden="false" customHeight="false" outlineLevel="0" collapsed="false">
      <c r="B38" s="2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6" min="3" style="0" width="14"/>
    <col collapsed="false" customWidth="true" hidden="false" outlineLevel="0" max="7" min="7" style="0" width="90"/>
  </cols>
  <sheetData>
    <row r="1" customFormat="false" ht="17.35" hidden="false" customHeight="false" outlineLevel="0" collapsed="false">
      <c r="B1" s="1" t="s">
        <v>26</v>
      </c>
    </row>
    <row r="2" customFormat="false" ht="15" hidden="false" customHeight="false" outlineLevel="0" collapsed="false">
      <c r="B2" s="22" t="s">
        <v>27</v>
      </c>
    </row>
    <row r="4" customFormat="false" ht="15" hidden="false" customHeight="false" outlineLevel="0" collapsed="false">
      <c r="B4" s="9" t="s">
        <v>28</v>
      </c>
    </row>
    <row r="6" customFormat="false" ht="15" hidden="false" customHeight="false" outlineLevel="0" collapsed="false">
      <c r="B6" s="5" t="s">
        <v>29</v>
      </c>
      <c r="C6" s="23" t="n">
        <v>2</v>
      </c>
      <c r="D6" s="5" t="str">
        <f aca="false">CHOOSE(C6,"Bear","Base","Bull")</f>
        <v>Base</v>
      </c>
    </row>
    <row r="8" customFormat="false" ht="15" hidden="false" customHeight="false" outlineLevel="0" collapsed="false">
      <c r="A8" s="3" t="s">
        <v>30</v>
      </c>
      <c r="B8" s="4"/>
      <c r="C8" s="4"/>
      <c r="D8" s="4"/>
      <c r="E8" s="4"/>
      <c r="F8" s="4"/>
      <c r="G8" s="4"/>
    </row>
    <row r="9" customFormat="false" ht="15" hidden="false" customHeight="false" outlineLevel="0" collapsed="false">
      <c r="B9" s="5" t="s">
        <v>31</v>
      </c>
      <c r="C9" s="24" t="n">
        <v>46300</v>
      </c>
      <c r="G9" s="22" t="s">
        <v>32</v>
      </c>
    </row>
    <row r="10" customFormat="false" ht="15" hidden="false" customHeight="false" outlineLevel="0" collapsed="false">
      <c r="B10" s="5" t="s">
        <v>33</v>
      </c>
      <c r="C10" s="25" t="n">
        <v>190.01</v>
      </c>
      <c r="G10" s="22" t="s">
        <v>34</v>
      </c>
    </row>
    <row r="11" customFormat="false" ht="15" hidden="false" customHeight="false" outlineLevel="0" collapsed="false">
      <c r="B11" s="5" t="s">
        <v>35</v>
      </c>
      <c r="C11" s="26" t="n">
        <f aca="false">75400/C10</f>
        <v>396.821219935793</v>
      </c>
      <c r="G11" s="22" t="s">
        <v>36</v>
      </c>
    </row>
    <row r="12" customFormat="false" ht="15" hidden="false" customHeight="false" outlineLevel="0" collapsed="false">
      <c r="B12" s="5" t="s">
        <v>37</v>
      </c>
      <c r="C12" s="27" t="n">
        <v>4950</v>
      </c>
      <c r="G12" s="22" t="s">
        <v>38</v>
      </c>
    </row>
    <row r="13" customFormat="false" ht="15" hidden="false" customHeight="false" outlineLevel="0" collapsed="false">
      <c r="B13" s="5" t="s">
        <v>39</v>
      </c>
      <c r="C13" s="27" t="n">
        <v>600</v>
      </c>
      <c r="G13" s="22" t="s">
        <v>40</v>
      </c>
    </row>
    <row r="14" customFormat="false" ht="15" hidden="false" customHeight="false" outlineLevel="0" collapsed="false">
      <c r="B14" s="9" t="s">
        <v>41</v>
      </c>
      <c r="C14" s="7" t="n">
        <f aca="false">C12-C13</f>
        <v>4350</v>
      </c>
    </row>
    <row r="15" customFormat="false" ht="15" hidden="false" customHeight="false" outlineLevel="0" collapsed="false">
      <c r="B15" s="5" t="s">
        <v>42</v>
      </c>
      <c r="C15" s="7" t="n">
        <f aca="false">C10*C11</f>
        <v>75400</v>
      </c>
    </row>
    <row r="17" customFormat="false" ht="15" hidden="false" customHeight="false" outlineLevel="0" collapsed="false">
      <c r="A17" s="3" t="s">
        <v>43</v>
      </c>
      <c r="B17" s="4"/>
      <c r="C17" s="4"/>
      <c r="D17" s="4"/>
      <c r="E17" s="4"/>
      <c r="F17" s="4"/>
      <c r="G17" s="4"/>
    </row>
    <row r="18" customFormat="false" ht="15" hidden="false" customHeight="false" outlineLevel="0" collapsed="false">
      <c r="B18" s="5" t="s">
        <v>44</v>
      </c>
      <c r="C18" s="18" t="n">
        <v>0.0528</v>
      </c>
      <c r="G18" s="22" t="s">
        <v>45</v>
      </c>
    </row>
    <row r="19" customFormat="false" ht="15" hidden="false" customHeight="false" outlineLevel="0" collapsed="false">
      <c r="B19" s="5" t="s">
        <v>46</v>
      </c>
      <c r="C19" s="28" t="n">
        <v>1.3</v>
      </c>
      <c r="G19" s="22" t="s">
        <v>47</v>
      </c>
    </row>
    <row r="20" customFormat="false" ht="15" hidden="false" customHeight="false" outlineLevel="0" collapsed="false">
      <c r="B20" s="5" t="s">
        <v>48</v>
      </c>
      <c r="C20" s="18" t="n">
        <v>0.05</v>
      </c>
      <c r="G20" s="22" t="s">
        <v>49</v>
      </c>
    </row>
    <row r="21" customFormat="false" ht="15" hidden="false" customHeight="false" outlineLevel="0" collapsed="false">
      <c r="B21" s="5" t="s">
        <v>50</v>
      </c>
      <c r="C21" s="18" t="n">
        <v>0.09</v>
      </c>
      <c r="G21" s="22" t="s">
        <v>51</v>
      </c>
    </row>
    <row r="22" customFormat="false" ht="15" hidden="false" customHeight="false" outlineLevel="0" collapsed="false">
      <c r="B22" s="5" t="s">
        <v>52</v>
      </c>
      <c r="C22" s="15" t="n">
        <f aca="false">C18+C19*C20</f>
        <v>0.1178</v>
      </c>
    </row>
    <row r="23" customFormat="false" ht="15" hidden="false" customHeight="false" outlineLevel="0" collapsed="false">
      <c r="B23" s="5" t="s">
        <v>53</v>
      </c>
      <c r="C23" s="15" t="n">
        <f aca="false">C21*(1-$C$66)</f>
        <v>0.0711</v>
      </c>
    </row>
    <row r="24" customFormat="false" ht="15" hidden="false" customHeight="false" outlineLevel="0" collapsed="false">
      <c r="B24" s="5" t="s">
        <v>54</v>
      </c>
      <c r="C24" s="15" t="n">
        <f aca="false">$C$15/($C$15+$C$13)</f>
        <v>0.992105263157895</v>
      </c>
    </row>
    <row r="25" customFormat="false" ht="15" hidden="false" customHeight="false" outlineLevel="0" collapsed="false">
      <c r="B25" s="5" t="s">
        <v>55</v>
      </c>
      <c r="C25" s="15" t="n">
        <f aca="false">1-C24</f>
        <v>0.00789473684210529</v>
      </c>
    </row>
    <row r="26" customFormat="false" ht="15" hidden="false" customHeight="false" outlineLevel="0" collapsed="false">
      <c r="B26" s="9" t="s">
        <v>56</v>
      </c>
      <c r="C26" s="15" t="n">
        <f aca="false">C24*C22+C25*C23</f>
        <v>0.117431315789474</v>
      </c>
    </row>
    <row r="27" customFormat="false" ht="15" hidden="false" customHeight="false" outlineLevel="0" collapsed="false">
      <c r="B27" s="5" t="s">
        <v>57</v>
      </c>
      <c r="C27" s="29"/>
    </row>
    <row r="28" customFormat="false" ht="15" hidden="false" customHeight="false" outlineLevel="0" collapsed="false">
      <c r="B28" s="9" t="s">
        <v>58</v>
      </c>
      <c r="C28" s="30" t="n">
        <f aca="false">IF(ISNUMBER(C27),C27,C26)</f>
        <v>0.117431315789474</v>
      </c>
    </row>
    <row r="30" customFormat="false" ht="15" hidden="false" customHeight="false" outlineLevel="0" collapsed="false">
      <c r="A30" s="3" t="s">
        <v>59</v>
      </c>
      <c r="B30" s="4"/>
      <c r="C30" s="4"/>
      <c r="D30" s="4"/>
      <c r="E30" s="4"/>
      <c r="F30" s="4"/>
      <c r="G30" s="4"/>
    </row>
    <row r="31" customFormat="false" ht="15" hidden="false" customHeight="false" outlineLevel="0" collapsed="false">
      <c r="B31" s="31" t="s">
        <v>60</v>
      </c>
      <c r="C31" s="31" t="s">
        <v>61</v>
      </c>
      <c r="D31" s="31" t="s">
        <v>62</v>
      </c>
      <c r="E31" s="31" t="s">
        <v>63</v>
      </c>
      <c r="F31" s="31" t="s">
        <v>64</v>
      </c>
      <c r="G31" s="31" t="s">
        <v>65</v>
      </c>
    </row>
    <row r="32" customFormat="false" ht="15" hidden="false" customHeight="false" outlineLevel="0" collapsed="false">
      <c r="B32" s="9" t="s">
        <v>66</v>
      </c>
    </row>
    <row r="33" customFormat="false" ht="15" hidden="false" customHeight="false" outlineLevel="0" collapsed="false">
      <c r="B33" s="5" t="s">
        <v>67</v>
      </c>
      <c r="C33" s="18" t="n">
        <v>0.02</v>
      </c>
      <c r="D33" s="18" t="n">
        <v>0.08</v>
      </c>
      <c r="E33" s="18" t="n">
        <v>0.15</v>
      </c>
      <c r="F33" s="32" t="n">
        <f aca="false">CHOOSE($C$6,C33,D33,E33)</f>
        <v>0.08</v>
      </c>
      <c r="G33" s="22" t="s">
        <v>68</v>
      </c>
    </row>
    <row r="34" customFormat="false" ht="15" hidden="false" customHeight="false" outlineLevel="0" collapsed="false">
      <c r="B34" s="5" t="s">
        <v>69</v>
      </c>
      <c r="C34" s="18" t="n">
        <v>0</v>
      </c>
      <c r="D34" s="18" t="n">
        <v>0.04</v>
      </c>
      <c r="E34" s="18" t="n">
        <v>0.06</v>
      </c>
      <c r="F34" s="32" t="n">
        <f aca="false">CHOOSE($C$6,C34,D34,E34)</f>
        <v>0.04</v>
      </c>
      <c r="G34" s="22" t="s">
        <v>70</v>
      </c>
    </row>
    <row r="35" customFormat="false" ht="15" hidden="false" customHeight="false" outlineLevel="0" collapsed="false">
      <c r="B35" s="5" t="s">
        <v>71</v>
      </c>
      <c r="C35" s="18" t="n">
        <v>-0.02</v>
      </c>
      <c r="D35" s="18" t="n">
        <v>0.02</v>
      </c>
      <c r="E35" s="18" t="n">
        <v>0.03</v>
      </c>
      <c r="F35" s="32" t="n">
        <f aca="false">CHOOSE($C$6,C35,D35,E35)</f>
        <v>0.02</v>
      </c>
      <c r="G35" s="22" t="s">
        <v>70</v>
      </c>
    </row>
    <row r="36" customFormat="false" ht="15" hidden="false" customHeight="false" outlineLevel="0" collapsed="false">
      <c r="B36" s="5" t="s">
        <v>72</v>
      </c>
      <c r="C36" s="18" t="n">
        <v>0.55</v>
      </c>
      <c r="D36" s="18" t="n">
        <v>0.65</v>
      </c>
      <c r="E36" s="18" t="n">
        <v>0.72</v>
      </c>
      <c r="F36" s="32" t="n">
        <f aca="false">CHOOSE($C$6,C36,D36,E36)</f>
        <v>0.65</v>
      </c>
      <c r="G36" s="22" t="s">
        <v>73</v>
      </c>
    </row>
    <row r="37" customFormat="false" ht="15" hidden="false" customHeight="false" outlineLevel="0" collapsed="false">
      <c r="B37" s="9" t="s">
        <v>74</v>
      </c>
    </row>
    <row r="38" customFormat="false" ht="15" hidden="false" customHeight="false" outlineLevel="0" collapsed="false">
      <c r="B38" s="5" t="s">
        <v>75</v>
      </c>
      <c r="C38" s="27" t="n">
        <v>2500</v>
      </c>
      <c r="D38" s="27" t="n">
        <v>4000</v>
      </c>
      <c r="E38" s="27" t="n">
        <v>5500</v>
      </c>
      <c r="F38" s="33" t="n">
        <f aca="false">CHOOSE($C$6,C38,D38,E38)</f>
        <v>4000</v>
      </c>
      <c r="G38" s="22" t="s">
        <v>76</v>
      </c>
    </row>
    <row r="39" customFormat="false" ht="15" hidden="false" customHeight="false" outlineLevel="0" collapsed="false">
      <c r="B39" s="5" t="s">
        <v>77</v>
      </c>
      <c r="C39" s="18" t="n">
        <v>0.8</v>
      </c>
      <c r="D39" s="18" t="n">
        <v>0.9</v>
      </c>
      <c r="E39" s="18" t="n">
        <v>0.95</v>
      </c>
      <c r="F39" s="32" t="n">
        <f aca="false">CHOOSE($C$6,C39,D39,E39)</f>
        <v>0.9</v>
      </c>
      <c r="G39" s="22" t="s">
        <v>78</v>
      </c>
    </row>
    <row r="40" customFormat="false" ht="15" hidden="false" customHeight="false" outlineLevel="0" collapsed="false">
      <c r="B40" s="9" t="s">
        <v>79</v>
      </c>
    </row>
    <row r="41" customFormat="false" ht="15" hidden="false" customHeight="false" outlineLevel="0" collapsed="false">
      <c r="B41" s="5" t="s">
        <v>75</v>
      </c>
      <c r="C41" s="27" t="n">
        <v>2000</v>
      </c>
      <c r="D41" s="27" t="n">
        <v>5000</v>
      </c>
      <c r="E41" s="27" t="n">
        <v>10000</v>
      </c>
      <c r="F41" s="33" t="n">
        <f aca="false">CHOOSE($C$6,C41,D41,E41)</f>
        <v>5000</v>
      </c>
      <c r="G41" s="22" t="s">
        <v>80</v>
      </c>
    </row>
    <row r="42" customFormat="false" ht="15" hidden="false" customHeight="false" outlineLevel="0" collapsed="false">
      <c r="B42" s="5" t="s">
        <v>77</v>
      </c>
      <c r="C42" s="18" t="n">
        <v>0.35</v>
      </c>
      <c r="D42" s="18" t="n">
        <v>0.5</v>
      </c>
      <c r="E42" s="18" t="n">
        <v>0.6</v>
      </c>
      <c r="F42" s="32" t="n">
        <f aca="false">CHOOSE($C$6,C42,D42,E42)</f>
        <v>0.5</v>
      </c>
      <c r="G42" s="22" t="s">
        <v>81</v>
      </c>
    </row>
    <row r="43" customFormat="false" ht="15" hidden="false" customHeight="false" outlineLevel="0" collapsed="false">
      <c r="B43" s="9" t="s">
        <v>82</v>
      </c>
    </row>
    <row r="44" customFormat="false" ht="15" hidden="false" customHeight="false" outlineLevel="0" collapsed="false">
      <c r="B44" s="5" t="s">
        <v>75</v>
      </c>
      <c r="C44" s="27" t="n">
        <v>500</v>
      </c>
      <c r="D44" s="27" t="n">
        <v>1500</v>
      </c>
      <c r="E44" s="27" t="n">
        <v>3300</v>
      </c>
      <c r="F44" s="33" t="n">
        <f aca="false">CHOOSE($C$6,C44,D44,E44)</f>
        <v>1500</v>
      </c>
      <c r="G44" s="22" t="s">
        <v>83</v>
      </c>
    </row>
    <row r="45" customFormat="false" ht="15" hidden="false" customHeight="false" outlineLevel="0" collapsed="false">
      <c r="B45" s="5" t="s">
        <v>77</v>
      </c>
      <c r="C45" s="18" t="n">
        <v>0.3</v>
      </c>
      <c r="D45" s="18" t="n">
        <v>0.45</v>
      </c>
      <c r="E45" s="18" t="n">
        <v>0.55</v>
      </c>
      <c r="F45" s="32" t="n">
        <f aca="false">CHOOSE($C$6,C45,D45,E45)</f>
        <v>0.45</v>
      </c>
      <c r="G45" s="22" t="s">
        <v>84</v>
      </c>
    </row>
    <row r="46" customFormat="false" ht="15" hidden="false" customHeight="false" outlineLevel="0" collapsed="false">
      <c r="B46" s="9" t="s">
        <v>85</v>
      </c>
    </row>
    <row r="47" customFormat="false" ht="15" hidden="false" customHeight="false" outlineLevel="0" collapsed="false">
      <c r="B47" s="5" t="s">
        <v>86</v>
      </c>
      <c r="C47" s="18" t="n">
        <v>0.35</v>
      </c>
      <c r="D47" s="18" t="n">
        <v>0.25</v>
      </c>
      <c r="E47" s="18" t="n">
        <v>0.2</v>
      </c>
      <c r="F47" s="32" t="n">
        <f aca="false">CHOOSE($C$6,C47,D47,E47)</f>
        <v>0.25</v>
      </c>
      <c r="G47" s="22" t="s">
        <v>87</v>
      </c>
    </row>
    <row r="48" customFormat="false" ht="15" hidden="false" customHeight="false" outlineLevel="0" collapsed="false">
      <c r="B48" s="5" t="s">
        <v>88</v>
      </c>
      <c r="C48" s="18" t="n">
        <v>0.015</v>
      </c>
      <c r="D48" s="18" t="n">
        <v>0.025</v>
      </c>
      <c r="E48" s="18" t="n">
        <v>0.03</v>
      </c>
      <c r="F48" s="32" t="n">
        <f aca="false">CHOOSE($C$6,C48,D48,E48)</f>
        <v>0.025</v>
      </c>
      <c r="G48" s="22" t="s">
        <v>89</v>
      </c>
    </row>
    <row r="49" customFormat="false" ht="15" hidden="false" customHeight="false" outlineLevel="0" collapsed="false">
      <c r="B49" s="9" t="s">
        <v>90</v>
      </c>
    </row>
    <row r="50" customFormat="false" ht="15" hidden="false" customHeight="false" outlineLevel="0" collapsed="false">
      <c r="B50" s="5" t="s">
        <v>91</v>
      </c>
      <c r="C50" s="27" t="n">
        <v>1600</v>
      </c>
      <c r="D50" s="27" t="n">
        <v>2400</v>
      </c>
      <c r="E50" s="27" t="n">
        <v>2800</v>
      </c>
      <c r="F50" s="33" t="n">
        <f aca="false">CHOOSE($C$6,C50,D50,E50)</f>
        <v>2400</v>
      </c>
      <c r="G50" s="22" t="s">
        <v>92</v>
      </c>
    </row>
    <row r="51" customFormat="false" ht="15" hidden="false" customHeight="false" outlineLevel="0" collapsed="false">
      <c r="B51" s="5" t="s">
        <v>93</v>
      </c>
      <c r="C51" s="27" t="n">
        <v>700</v>
      </c>
      <c r="D51" s="27" t="n">
        <v>900</v>
      </c>
      <c r="E51" s="27" t="n">
        <v>1000</v>
      </c>
      <c r="F51" s="33" t="n">
        <f aca="false">CHOOSE($C$6,C51,D51,E51)</f>
        <v>900</v>
      </c>
      <c r="G51" s="22" t="s">
        <v>94</v>
      </c>
    </row>
    <row r="53" customFormat="false" ht="15" hidden="false" customHeight="false" outlineLevel="0" collapsed="false">
      <c r="A53" s="3" t="s">
        <v>95</v>
      </c>
      <c r="B53" s="4"/>
      <c r="C53" s="4"/>
      <c r="D53" s="4"/>
      <c r="E53" s="4"/>
      <c r="F53" s="4"/>
      <c r="G53" s="4"/>
    </row>
    <row r="54" customFormat="false" ht="15" hidden="false" customHeight="false" outlineLevel="0" collapsed="false">
      <c r="B54" s="5" t="s">
        <v>96</v>
      </c>
      <c r="C54" s="34" t="n">
        <v>2028</v>
      </c>
      <c r="G54" s="22" t="s">
        <v>97</v>
      </c>
    </row>
    <row r="55" customFormat="false" ht="15" hidden="false" customHeight="false" outlineLevel="0" collapsed="false">
      <c r="B55" s="5" t="s">
        <v>98</v>
      </c>
      <c r="C55" s="34" t="n">
        <v>2030</v>
      </c>
      <c r="G55" s="22" t="s">
        <v>70</v>
      </c>
    </row>
    <row r="56" customFormat="false" ht="15" hidden="false" customHeight="false" outlineLevel="0" collapsed="false">
      <c r="B56" s="5" t="s">
        <v>99</v>
      </c>
      <c r="C56" s="34" t="n">
        <v>2030</v>
      </c>
      <c r="G56" s="22" t="s">
        <v>70</v>
      </c>
    </row>
    <row r="57" customFormat="false" ht="15" hidden="false" customHeight="false" outlineLevel="0" collapsed="false">
      <c r="B57" s="5" t="s">
        <v>100</v>
      </c>
      <c r="C57" s="35" t="n">
        <v>6</v>
      </c>
      <c r="G57" s="22" t="s">
        <v>101</v>
      </c>
    </row>
    <row r="58" customFormat="false" ht="15" hidden="false" customHeight="false" outlineLevel="0" collapsed="false">
      <c r="B58" s="5" t="s">
        <v>102</v>
      </c>
      <c r="C58" s="18" t="n">
        <v>0.62</v>
      </c>
      <c r="G58" s="22" t="s">
        <v>103</v>
      </c>
    </row>
    <row r="59" customFormat="false" ht="15" hidden="false" customHeight="false" outlineLevel="0" collapsed="false">
      <c r="B59" s="5" t="s">
        <v>104</v>
      </c>
      <c r="C59" s="18" t="n">
        <v>0.2</v>
      </c>
      <c r="G59" s="22" t="s">
        <v>105</v>
      </c>
    </row>
    <row r="60" customFormat="false" ht="15" hidden="false" customHeight="false" outlineLevel="0" collapsed="false">
      <c r="B60" s="5" t="s">
        <v>106</v>
      </c>
      <c r="C60" s="18" t="n">
        <v>0.12</v>
      </c>
      <c r="G60" s="22" t="s">
        <v>107</v>
      </c>
    </row>
    <row r="61" customFormat="false" ht="15" hidden="false" customHeight="false" outlineLevel="0" collapsed="false">
      <c r="B61" s="5" t="s">
        <v>108</v>
      </c>
      <c r="C61" s="27" t="n">
        <v>350</v>
      </c>
      <c r="G61" s="22" t="s">
        <v>109</v>
      </c>
    </row>
    <row r="62" customFormat="false" ht="15" hidden="false" customHeight="false" outlineLevel="0" collapsed="false">
      <c r="B62" s="5" t="s">
        <v>110</v>
      </c>
      <c r="C62" s="18" t="n">
        <v>0.03</v>
      </c>
      <c r="G62" s="22" t="s">
        <v>70</v>
      </c>
    </row>
    <row r="63" customFormat="false" ht="15" hidden="false" customHeight="false" outlineLevel="0" collapsed="false">
      <c r="B63" s="5" t="s">
        <v>111</v>
      </c>
      <c r="C63" s="27" t="n">
        <v>250</v>
      </c>
      <c r="G63" s="22" t="s">
        <v>112</v>
      </c>
    </row>
    <row r="64" customFormat="false" ht="15" hidden="false" customHeight="false" outlineLevel="0" collapsed="false">
      <c r="B64" s="5" t="s">
        <v>113</v>
      </c>
      <c r="C64" s="18" t="n">
        <v>0.035</v>
      </c>
      <c r="G64" s="22" t="s">
        <v>70</v>
      </c>
    </row>
    <row r="65" customFormat="false" ht="15" hidden="false" customHeight="false" outlineLevel="0" collapsed="false">
      <c r="B65" s="5" t="s">
        <v>114</v>
      </c>
      <c r="C65" s="18" t="n">
        <v>0.15</v>
      </c>
      <c r="G65" s="22" t="s">
        <v>70</v>
      </c>
    </row>
    <row r="66" customFormat="false" ht="15" hidden="false" customHeight="false" outlineLevel="0" collapsed="false">
      <c r="B66" s="5" t="s">
        <v>115</v>
      </c>
      <c r="C66" s="18" t="n">
        <v>0.21</v>
      </c>
      <c r="G66" s="22" t="s">
        <v>116</v>
      </c>
    </row>
    <row r="67" customFormat="false" ht="15" hidden="false" customHeight="false" outlineLevel="0" collapsed="false">
      <c r="B67" s="5" t="s">
        <v>117</v>
      </c>
      <c r="C67" s="27" t="n">
        <v>12000</v>
      </c>
      <c r="G67" s="22" t="s">
        <v>118</v>
      </c>
    </row>
    <row r="68" customFormat="false" ht="15" hidden="false" customHeight="false" outlineLevel="0" collapsed="false">
      <c r="B68" s="5" t="s">
        <v>119</v>
      </c>
      <c r="C68" s="18" t="n">
        <v>0.8</v>
      </c>
      <c r="G68" s="22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7" min="2" style="0" width="11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tr">
        <f aca="false">"Scenario: "&amp;Inputs!$D$6</f>
        <v>Scenario: Base</v>
      </c>
    </row>
    <row r="4" customFormat="false" ht="15" hidden="false" customHeight="false" outlineLevel="0" collapsed="false">
      <c r="A4" s="31" t="s">
        <v>122</v>
      </c>
      <c r="B4" s="36" t="n">
        <v>2025</v>
      </c>
      <c r="C4" s="36" t="n">
        <v>2026</v>
      </c>
      <c r="D4" s="36" t="n">
        <f aca="false">C4+1</f>
        <v>2027</v>
      </c>
      <c r="E4" s="36" t="n">
        <f aca="false">D4+1</f>
        <v>2028</v>
      </c>
      <c r="F4" s="36" t="n">
        <f aca="false">E4+1</f>
        <v>2029</v>
      </c>
      <c r="G4" s="36" t="n">
        <f aca="false">F4+1</f>
        <v>2030</v>
      </c>
      <c r="H4" s="36" t="n">
        <f aca="false">G4+1</f>
        <v>2031</v>
      </c>
      <c r="I4" s="36" t="n">
        <f aca="false">H4+1</f>
        <v>2032</v>
      </c>
      <c r="J4" s="36" t="n">
        <f aca="false">I4+1</f>
        <v>2033</v>
      </c>
      <c r="K4" s="36" t="n">
        <f aca="false">J4+1</f>
        <v>2034</v>
      </c>
      <c r="L4" s="36" t="n">
        <f aca="false">K4+1</f>
        <v>2035</v>
      </c>
      <c r="M4" s="36" t="n">
        <f aca="false">L4+1</f>
        <v>2036</v>
      </c>
      <c r="N4" s="36" t="n">
        <f aca="false">M4+1</f>
        <v>2037</v>
      </c>
      <c r="O4" s="36" t="n">
        <f aca="false">N4+1</f>
        <v>2038</v>
      </c>
      <c r="P4" s="36" t="n">
        <f aca="false">O4+1</f>
        <v>2039</v>
      </c>
      <c r="Q4" s="36" t="n">
        <f aca="false">P4+1</f>
        <v>2040</v>
      </c>
    </row>
    <row r="5" customFormat="false" ht="15" hidden="false" customHeight="false" outlineLevel="0" collapsed="false">
      <c r="A5" s="37"/>
      <c r="B5" s="37" t="s">
        <v>123</v>
      </c>
      <c r="C5" s="37" t="s">
        <v>124</v>
      </c>
      <c r="D5" s="37" t="s">
        <v>125</v>
      </c>
      <c r="E5" s="37" t="s">
        <v>125</v>
      </c>
      <c r="F5" s="37" t="s">
        <v>125</v>
      </c>
      <c r="G5" s="37" t="s">
        <v>125</v>
      </c>
      <c r="H5" s="37" t="s">
        <v>125</v>
      </c>
      <c r="I5" s="37" t="s">
        <v>125</v>
      </c>
      <c r="J5" s="37" t="s">
        <v>125</v>
      </c>
      <c r="K5" s="37" t="s">
        <v>125</v>
      </c>
      <c r="L5" s="37" t="s">
        <v>125</v>
      </c>
      <c r="M5" s="37" t="s">
        <v>125</v>
      </c>
      <c r="N5" s="37" t="s">
        <v>125</v>
      </c>
      <c r="O5" s="37" t="s">
        <v>125</v>
      </c>
      <c r="P5" s="37" t="s">
        <v>125</v>
      </c>
      <c r="Q5" s="37" t="s">
        <v>125</v>
      </c>
    </row>
    <row r="7" customFormat="false" ht="15" hidden="false" customHeight="false" outlineLevel="0" collapsed="false">
      <c r="A7" s="3" t="s">
        <v>126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customFormat="false" ht="15" hidden="false" customHeight="false" outlineLevel="0" collapsed="false">
      <c r="A8" s="5" t="s">
        <v>127</v>
      </c>
      <c r="B8" s="27" t="n">
        <v>1944</v>
      </c>
      <c r="C8" s="7" t="n">
        <f aca="false">B8*1.08</f>
        <v>2099.52</v>
      </c>
      <c r="D8" s="7" t="n">
        <f aca="false">C8*(1+IF(D$4&lt;=2030,Inputs!$F$33,IF(D$4&lt;=2035,Inputs!$F$34,Inputs!$F$35)))</f>
        <v>2267.4816</v>
      </c>
      <c r="E8" s="7" t="n">
        <f aca="false">D8*(1+IF(E$4&lt;=2030,Inputs!$F$33,IF(E$4&lt;=2035,Inputs!$F$34,Inputs!$F$35)))</f>
        <v>2448.880128</v>
      </c>
      <c r="F8" s="7" t="n">
        <f aca="false">E8*(1+IF(F$4&lt;=2030,Inputs!$F$33,IF(F$4&lt;=2035,Inputs!$F$34,Inputs!$F$35)))</f>
        <v>2644.79053824</v>
      </c>
      <c r="G8" s="7" t="n">
        <f aca="false">F8*(1+IF(G$4&lt;=2030,Inputs!$F$33,IF(G$4&lt;=2035,Inputs!$F$34,Inputs!$F$35)))</f>
        <v>2856.3737812992</v>
      </c>
      <c r="H8" s="7" t="n">
        <f aca="false">G8*(1+IF(H$4&lt;=2030,Inputs!$F$33,IF(H$4&lt;=2035,Inputs!$F$34,Inputs!$F$35)))</f>
        <v>2970.62873255117</v>
      </c>
      <c r="I8" s="7" t="n">
        <f aca="false">H8*(1+IF(I$4&lt;=2030,Inputs!$F$33,IF(I$4&lt;=2035,Inputs!$F$34,Inputs!$F$35)))</f>
        <v>3089.45388185322</v>
      </c>
      <c r="J8" s="7" t="n">
        <f aca="false">I8*(1+IF(J$4&lt;=2030,Inputs!$F$33,IF(J$4&lt;=2035,Inputs!$F$34,Inputs!$F$35)))</f>
        <v>3213.03203712734</v>
      </c>
      <c r="K8" s="7" t="n">
        <f aca="false">J8*(1+IF(K$4&lt;=2030,Inputs!$F$33,IF(K$4&lt;=2035,Inputs!$F$34,Inputs!$F$35)))</f>
        <v>3341.55331861244</v>
      </c>
      <c r="L8" s="7" t="n">
        <f aca="false">K8*(1+IF(L$4&lt;=2030,Inputs!$F$33,IF(L$4&lt;=2035,Inputs!$F$34,Inputs!$F$35)))</f>
        <v>3475.21545135694</v>
      </c>
      <c r="M8" s="7" t="n">
        <f aca="false">L8*(1+IF(M$4&lt;=2030,Inputs!$F$33,IF(M$4&lt;=2035,Inputs!$F$34,Inputs!$F$35)))</f>
        <v>3544.71976038408</v>
      </c>
      <c r="N8" s="7" t="n">
        <f aca="false">M8*(1+IF(N$4&lt;=2030,Inputs!$F$33,IF(N$4&lt;=2035,Inputs!$F$34,Inputs!$F$35)))</f>
        <v>3615.61415559176</v>
      </c>
      <c r="O8" s="7" t="n">
        <f aca="false">N8*(1+IF(O$4&lt;=2030,Inputs!$F$33,IF(O$4&lt;=2035,Inputs!$F$34,Inputs!$F$35)))</f>
        <v>3687.92643870359</v>
      </c>
      <c r="P8" s="7" t="n">
        <f aca="false">O8*(1+IF(P$4&lt;=2030,Inputs!$F$33,IF(P$4&lt;=2035,Inputs!$F$34,Inputs!$F$35)))</f>
        <v>3761.68496747766</v>
      </c>
      <c r="Q8" s="7" t="n">
        <f aca="false">P8*(1+IF(Q$4&lt;=2030,Inputs!$F$33,IF(Q$4&lt;=2035,Inputs!$F$34,Inputs!$F$35)))</f>
        <v>3836.91866682722</v>
      </c>
    </row>
    <row r="9" customFormat="false" ht="15" hidden="false" customHeight="false" outlineLevel="0" collapsed="false">
      <c r="A9" s="5" t="s">
        <v>128</v>
      </c>
      <c r="B9" s="27" t="n">
        <v>0</v>
      </c>
      <c r="C9" s="27" t="n">
        <v>0</v>
      </c>
      <c r="D9" s="7" t="n">
        <f aca="false">IF(D$4&gt;=Inputs!$C$54,MIN(1,(D$4-Inputs!$C$54+1)/Inputs!$C$57),0)*Inputs!$F$38*Inputs!$F$39</f>
        <v>0</v>
      </c>
      <c r="E9" s="7" t="n">
        <f aca="false">IF(E$4&gt;=Inputs!$C$54,MIN(1,(E$4-Inputs!$C$54+1)/Inputs!$C$57),0)*Inputs!$F$38*Inputs!$F$39</f>
        <v>600</v>
      </c>
      <c r="F9" s="7" t="n">
        <f aca="false">IF(F$4&gt;=Inputs!$C$54,MIN(1,(F$4-Inputs!$C$54+1)/Inputs!$C$57),0)*Inputs!$F$38*Inputs!$F$39</f>
        <v>1200</v>
      </c>
      <c r="G9" s="7" t="n">
        <f aca="false">IF(G$4&gt;=Inputs!$C$54,MIN(1,(G$4-Inputs!$C$54+1)/Inputs!$C$57),0)*Inputs!$F$38*Inputs!$F$39</f>
        <v>1800</v>
      </c>
      <c r="H9" s="7" t="n">
        <f aca="false">IF(H$4&gt;=Inputs!$C$54,MIN(1,(H$4-Inputs!$C$54+1)/Inputs!$C$57),0)*Inputs!$F$38*Inputs!$F$39</f>
        <v>2400</v>
      </c>
      <c r="I9" s="7" t="n">
        <f aca="false">IF(I$4&gt;=Inputs!$C$54,MIN(1,(I$4-Inputs!$C$54+1)/Inputs!$C$57),0)*Inputs!$F$38*Inputs!$F$39</f>
        <v>3000</v>
      </c>
      <c r="J9" s="7" t="n">
        <f aca="false">IF(J$4&gt;=Inputs!$C$54,MIN(1,(J$4-Inputs!$C$54+1)/Inputs!$C$57),0)*Inputs!$F$38*Inputs!$F$39</f>
        <v>3600</v>
      </c>
      <c r="K9" s="7" t="n">
        <f aca="false">IF(K$4&gt;=Inputs!$C$54,MIN(1,(K$4-Inputs!$C$54+1)/Inputs!$C$57),0)*Inputs!$F$38*Inputs!$F$39</f>
        <v>3600</v>
      </c>
      <c r="L9" s="7" t="n">
        <f aca="false">IF(L$4&gt;=Inputs!$C$54,MIN(1,(L$4-Inputs!$C$54+1)/Inputs!$C$57),0)*Inputs!$F$38*Inputs!$F$39</f>
        <v>3600</v>
      </c>
      <c r="M9" s="7" t="n">
        <f aca="false">IF(M$4&gt;=Inputs!$C$54,MIN(1,(M$4-Inputs!$C$54+1)/Inputs!$C$57),0)*Inputs!$F$38*Inputs!$F$39</f>
        <v>3600</v>
      </c>
      <c r="N9" s="7" t="n">
        <f aca="false">IF(N$4&gt;=Inputs!$C$54,MIN(1,(N$4-Inputs!$C$54+1)/Inputs!$C$57),0)*Inputs!$F$38*Inputs!$F$39</f>
        <v>3600</v>
      </c>
      <c r="O9" s="7" t="n">
        <f aca="false">IF(O$4&gt;=Inputs!$C$54,MIN(1,(O$4-Inputs!$C$54+1)/Inputs!$C$57),0)*Inputs!$F$38*Inputs!$F$39</f>
        <v>3600</v>
      </c>
      <c r="P9" s="7" t="n">
        <f aca="false">IF(P$4&gt;=Inputs!$C$54,MIN(1,(P$4-Inputs!$C$54+1)/Inputs!$C$57),0)*Inputs!$F$38*Inputs!$F$39</f>
        <v>3600</v>
      </c>
      <c r="Q9" s="7" t="n">
        <f aca="false">IF(Q$4&gt;=Inputs!$C$54,MIN(1,(Q$4-Inputs!$C$54+1)/Inputs!$C$57),0)*Inputs!$F$38*Inputs!$F$39</f>
        <v>3600</v>
      </c>
    </row>
    <row r="10" customFormat="false" ht="15" hidden="false" customHeight="false" outlineLevel="0" collapsed="false">
      <c r="A10" s="5" t="s">
        <v>129</v>
      </c>
      <c r="B10" s="27" t="n">
        <v>0</v>
      </c>
      <c r="C10" s="27" t="n">
        <v>0</v>
      </c>
      <c r="D10" s="7" t="n">
        <f aca="false">IF(D$4&gt;=Inputs!$C$55,MIN(1,(D$4-Inputs!$C$55+1)/Inputs!$C$57),0)*Inputs!$F$41*Inputs!$F$42</f>
        <v>0</v>
      </c>
      <c r="E10" s="7" t="n">
        <f aca="false">IF(E$4&gt;=Inputs!$C$55,MIN(1,(E$4-Inputs!$C$55+1)/Inputs!$C$57),0)*Inputs!$F$41*Inputs!$F$42</f>
        <v>0</v>
      </c>
      <c r="F10" s="7" t="n">
        <f aca="false">IF(F$4&gt;=Inputs!$C$55,MIN(1,(F$4-Inputs!$C$55+1)/Inputs!$C$57),0)*Inputs!$F$41*Inputs!$F$42</f>
        <v>0</v>
      </c>
      <c r="G10" s="7" t="n">
        <f aca="false">IF(G$4&gt;=Inputs!$C$55,MIN(1,(G$4-Inputs!$C$55+1)/Inputs!$C$57),0)*Inputs!$F$41*Inputs!$F$42</f>
        <v>416.666666666667</v>
      </c>
      <c r="H10" s="7" t="n">
        <f aca="false">IF(H$4&gt;=Inputs!$C$55,MIN(1,(H$4-Inputs!$C$55+1)/Inputs!$C$57),0)*Inputs!$F$41*Inputs!$F$42</f>
        <v>833.333333333333</v>
      </c>
      <c r="I10" s="7" t="n">
        <f aca="false">IF(I$4&gt;=Inputs!$C$55,MIN(1,(I$4-Inputs!$C$55+1)/Inputs!$C$57),0)*Inputs!$F$41*Inputs!$F$42</f>
        <v>1250</v>
      </c>
      <c r="J10" s="7" t="n">
        <f aca="false">IF(J$4&gt;=Inputs!$C$55,MIN(1,(J$4-Inputs!$C$55+1)/Inputs!$C$57),0)*Inputs!$F$41*Inputs!$F$42</f>
        <v>1666.66666666667</v>
      </c>
      <c r="K10" s="7" t="n">
        <f aca="false">IF(K$4&gt;=Inputs!$C$55,MIN(1,(K$4-Inputs!$C$55+1)/Inputs!$C$57),0)*Inputs!$F$41*Inputs!$F$42</f>
        <v>2083.33333333333</v>
      </c>
      <c r="L10" s="7" t="n">
        <f aca="false">IF(L$4&gt;=Inputs!$C$55,MIN(1,(L$4-Inputs!$C$55+1)/Inputs!$C$57),0)*Inputs!$F$41*Inputs!$F$42</f>
        <v>2500</v>
      </c>
      <c r="M10" s="7" t="n">
        <f aca="false">IF(M$4&gt;=Inputs!$C$55,MIN(1,(M$4-Inputs!$C$55+1)/Inputs!$C$57),0)*Inputs!$F$41*Inputs!$F$42</f>
        <v>2500</v>
      </c>
      <c r="N10" s="7" t="n">
        <f aca="false">IF(N$4&gt;=Inputs!$C$55,MIN(1,(N$4-Inputs!$C$55+1)/Inputs!$C$57),0)*Inputs!$F$41*Inputs!$F$42</f>
        <v>2500</v>
      </c>
      <c r="O10" s="7" t="n">
        <f aca="false">IF(O$4&gt;=Inputs!$C$55,MIN(1,(O$4-Inputs!$C$55+1)/Inputs!$C$57),0)*Inputs!$F$41*Inputs!$F$42</f>
        <v>2500</v>
      </c>
      <c r="P10" s="7" t="n">
        <f aca="false">IF(P$4&gt;=Inputs!$C$55,MIN(1,(P$4-Inputs!$C$55+1)/Inputs!$C$57),0)*Inputs!$F$41*Inputs!$F$42</f>
        <v>2500</v>
      </c>
      <c r="Q10" s="7" t="n">
        <f aca="false">IF(Q$4&gt;=Inputs!$C$55,MIN(1,(Q$4-Inputs!$C$55+1)/Inputs!$C$57),0)*Inputs!$F$41*Inputs!$F$42</f>
        <v>2500</v>
      </c>
    </row>
    <row r="11" customFormat="false" ht="15" hidden="false" customHeight="false" outlineLevel="0" collapsed="false">
      <c r="A11" s="5" t="s">
        <v>130</v>
      </c>
      <c r="B11" s="27" t="n">
        <v>0</v>
      </c>
      <c r="C11" s="27" t="n">
        <v>0</v>
      </c>
      <c r="D11" s="7" t="n">
        <f aca="false">IF(D$4&gt;=Inputs!$C$56,MIN(1,(D$4-Inputs!$C$56+1)/Inputs!$C$57),0)*Inputs!$F$44*Inputs!$F$45</f>
        <v>0</v>
      </c>
      <c r="E11" s="7" t="n">
        <f aca="false">IF(E$4&gt;=Inputs!$C$56,MIN(1,(E$4-Inputs!$C$56+1)/Inputs!$C$57),0)*Inputs!$F$44*Inputs!$F$45</f>
        <v>0</v>
      </c>
      <c r="F11" s="7" t="n">
        <f aca="false">IF(F$4&gt;=Inputs!$C$56,MIN(1,(F$4-Inputs!$C$56+1)/Inputs!$C$57),0)*Inputs!$F$44*Inputs!$F$45</f>
        <v>0</v>
      </c>
      <c r="G11" s="7" t="n">
        <f aca="false">IF(G$4&gt;=Inputs!$C$56,MIN(1,(G$4-Inputs!$C$56+1)/Inputs!$C$57),0)*Inputs!$F$44*Inputs!$F$45</f>
        <v>112.5</v>
      </c>
      <c r="H11" s="7" t="n">
        <f aca="false">IF(H$4&gt;=Inputs!$C$56,MIN(1,(H$4-Inputs!$C$56+1)/Inputs!$C$57),0)*Inputs!$F$44*Inputs!$F$45</f>
        <v>225</v>
      </c>
      <c r="I11" s="7" t="n">
        <f aca="false">IF(I$4&gt;=Inputs!$C$56,MIN(1,(I$4-Inputs!$C$56+1)/Inputs!$C$57),0)*Inputs!$F$44*Inputs!$F$45</f>
        <v>337.5</v>
      </c>
      <c r="J11" s="7" t="n">
        <f aca="false">IF(J$4&gt;=Inputs!$C$56,MIN(1,(J$4-Inputs!$C$56+1)/Inputs!$C$57),0)*Inputs!$F$44*Inputs!$F$45</f>
        <v>450</v>
      </c>
      <c r="K11" s="7" t="n">
        <f aca="false">IF(K$4&gt;=Inputs!$C$56,MIN(1,(K$4-Inputs!$C$56+1)/Inputs!$C$57),0)*Inputs!$F$44*Inputs!$F$45</f>
        <v>562.5</v>
      </c>
      <c r="L11" s="7" t="n">
        <f aca="false">IF(L$4&gt;=Inputs!$C$56,MIN(1,(L$4-Inputs!$C$56+1)/Inputs!$C$57),0)*Inputs!$F$44*Inputs!$F$45</f>
        <v>675</v>
      </c>
      <c r="M11" s="7" t="n">
        <f aca="false">IF(M$4&gt;=Inputs!$C$56,MIN(1,(M$4-Inputs!$C$56+1)/Inputs!$C$57),0)*Inputs!$F$44*Inputs!$F$45</f>
        <v>675</v>
      </c>
      <c r="N11" s="7" t="n">
        <f aca="false">IF(N$4&gt;=Inputs!$C$56,MIN(1,(N$4-Inputs!$C$56+1)/Inputs!$C$57),0)*Inputs!$F$44*Inputs!$F$45</f>
        <v>675</v>
      </c>
      <c r="O11" s="7" t="n">
        <f aca="false">IF(O$4&gt;=Inputs!$C$56,MIN(1,(O$4-Inputs!$C$56+1)/Inputs!$C$57),0)*Inputs!$F$44*Inputs!$F$45</f>
        <v>675</v>
      </c>
      <c r="P11" s="7" t="n">
        <f aca="false">IF(P$4&gt;=Inputs!$C$56,MIN(1,(P$4-Inputs!$C$56+1)/Inputs!$C$57),0)*Inputs!$F$44*Inputs!$F$45</f>
        <v>675</v>
      </c>
      <c r="Q11" s="7" t="n">
        <f aca="false">IF(Q$4&gt;=Inputs!$C$56,MIN(1,(Q$4-Inputs!$C$56+1)/Inputs!$C$57),0)*Inputs!$F$44*Inputs!$F$45</f>
        <v>675</v>
      </c>
    </row>
    <row r="12" customFormat="false" ht="15" hidden="false" customHeight="false" outlineLevel="0" collapsed="false">
      <c r="A12" s="5" t="s">
        <v>131</v>
      </c>
      <c r="B12" s="7" t="n">
        <f aca="false">SUM(B9:B11)</f>
        <v>0</v>
      </c>
      <c r="C12" s="7" t="n">
        <f aca="false">SUM(C9:C11)</f>
        <v>0</v>
      </c>
      <c r="D12" s="7" t="n">
        <f aca="false">SUM(D9:D11)</f>
        <v>0</v>
      </c>
      <c r="E12" s="7" t="n">
        <f aca="false">SUM(E9:E11)</f>
        <v>600</v>
      </c>
      <c r="F12" s="7" t="n">
        <f aca="false">SUM(F9:F11)</f>
        <v>1200</v>
      </c>
      <c r="G12" s="7" t="n">
        <f aca="false">SUM(G9:G11)</f>
        <v>2329.16666666667</v>
      </c>
      <c r="H12" s="7" t="n">
        <f aca="false">SUM(H9:H11)</f>
        <v>3458.33333333333</v>
      </c>
      <c r="I12" s="7" t="n">
        <f aca="false">SUM(I9:I11)</f>
        <v>4587.5</v>
      </c>
      <c r="J12" s="7" t="n">
        <f aca="false">SUM(J9:J11)</f>
        <v>5716.66666666667</v>
      </c>
      <c r="K12" s="7" t="n">
        <f aca="false">SUM(K9:K11)</f>
        <v>6245.83333333333</v>
      </c>
      <c r="L12" s="7" t="n">
        <f aca="false">SUM(L9:L11)</f>
        <v>6775</v>
      </c>
      <c r="M12" s="7" t="n">
        <f aca="false">SUM(M9:M11)</f>
        <v>6775</v>
      </c>
      <c r="N12" s="7" t="n">
        <f aca="false">SUM(N9:N11)</f>
        <v>6775</v>
      </c>
      <c r="O12" s="7" t="n">
        <f aca="false">SUM(O9:O11)</f>
        <v>6775</v>
      </c>
      <c r="P12" s="7" t="n">
        <f aca="false">SUM(P9:P11)</f>
        <v>6775</v>
      </c>
      <c r="Q12" s="7" t="n">
        <f aca="false">SUM(Q9:Q11)</f>
        <v>6775</v>
      </c>
    </row>
    <row r="13" customFormat="false" ht="15" hidden="false" customHeight="false" outlineLevel="0" collapsed="false">
      <c r="A13" s="9" t="s">
        <v>132</v>
      </c>
      <c r="B13" s="38" t="n">
        <f aca="false">B8+B12</f>
        <v>1944</v>
      </c>
      <c r="C13" s="38" t="n">
        <f aca="false">C8+C12</f>
        <v>2099.52</v>
      </c>
      <c r="D13" s="38" t="n">
        <f aca="false">D8+D12</f>
        <v>2267.4816</v>
      </c>
      <c r="E13" s="38" t="n">
        <f aca="false">E8+E12</f>
        <v>3048.880128</v>
      </c>
      <c r="F13" s="38" t="n">
        <f aca="false">F8+F12</f>
        <v>3844.79053824</v>
      </c>
      <c r="G13" s="38" t="n">
        <f aca="false">G8+G12</f>
        <v>5185.54044796587</v>
      </c>
      <c r="H13" s="38" t="n">
        <f aca="false">H8+H12</f>
        <v>6428.9620658845</v>
      </c>
      <c r="I13" s="38" t="n">
        <f aca="false">I8+I12</f>
        <v>7676.95388185322</v>
      </c>
      <c r="J13" s="38" t="n">
        <f aca="false">J8+J12</f>
        <v>8929.69870379401</v>
      </c>
      <c r="K13" s="38" t="n">
        <f aca="false">K8+K12</f>
        <v>9587.38665194577</v>
      </c>
      <c r="L13" s="38" t="n">
        <f aca="false">L8+L12</f>
        <v>10250.2154513569</v>
      </c>
      <c r="M13" s="38" t="n">
        <f aca="false">M8+M12</f>
        <v>10319.7197603841</v>
      </c>
      <c r="N13" s="38" t="n">
        <f aca="false">N8+N12</f>
        <v>10390.6141555918</v>
      </c>
      <c r="O13" s="38" t="n">
        <f aca="false">O8+O12</f>
        <v>10462.9264387036</v>
      </c>
      <c r="P13" s="38" t="n">
        <f aca="false">P8+P12</f>
        <v>10536.6849674777</v>
      </c>
      <c r="Q13" s="38" t="n">
        <f aca="false">Q8+Q12</f>
        <v>10611.9186668272</v>
      </c>
    </row>
    <row r="14" customFormat="false" ht="15" hidden="false" customHeight="false" outlineLevel="0" collapsed="false">
      <c r="A14" s="5" t="s">
        <v>133</v>
      </c>
      <c r="C14" s="15" t="n">
        <f aca="false">IF(B13=0,0,C13/B13-1)</f>
        <v>0.0800000000000001</v>
      </c>
      <c r="D14" s="15" t="n">
        <f aca="false">IF(C13=0,0,D13/C13-1)</f>
        <v>0.0800000000000001</v>
      </c>
      <c r="E14" s="15" t="n">
        <f aca="false">IF(D13=0,0,E13/D13-1)</f>
        <v>0.344610747006723</v>
      </c>
      <c r="F14" s="15" t="n">
        <f aca="false">IF(E13=0,0,F13/E13-1)</f>
        <v>0.261050082924087</v>
      </c>
      <c r="G14" s="15" t="n">
        <f aca="false">IF(F13=0,0,G13/F13-1)</f>
        <v>0.348718583337861</v>
      </c>
      <c r="H14" s="15" t="n">
        <f aca="false">IF(G13=0,0,H13/G13-1)</f>
        <v>0.239786311647881</v>
      </c>
      <c r="I14" s="15" t="n">
        <f aca="false">IF(H13=0,0,I13/H13-1)</f>
        <v>0.194120264387812</v>
      </c>
      <c r="J14" s="15" t="n">
        <f aca="false">IF(I13=0,0,J13/I13-1)</f>
        <v>0.163182538441716</v>
      </c>
      <c r="K14" s="15" t="n">
        <f aca="false">IF(J13=0,0,K13/J13-1)</f>
        <v>0.0736517513040309</v>
      </c>
      <c r="L14" s="15" t="n">
        <f aca="false">IF(K13=0,0,L13/K13-1)</f>
        <v>0.0691355030806691</v>
      </c>
      <c r="M14" s="15" t="n">
        <f aca="false">IF(L13=0,0,M13/L13-1)</f>
        <v>0.00678076566848529</v>
      </c>
      <c r="N14" s="15" t="n">
        <f aca="false">IF(M13=0,0,N13/M13-1)</f>
        <v>0.0068697984881172</v>
      </c>
      <c r="O14" s="15" t="n">
        <f aca="false">IF(N13=0,0,O13/N13-1)</f>
        <v>0.00695938488611092</v>
      </c>
      <c r="P14" s="15" t="n">
        <f aca="false">IF(O13=0,0,P13/O13-1)</f>
        <v>0.00704951231437812</v>
      </c>
      <c r="Q14" s="15" t="n">
        <f aca="false">IF(P13=0,0,Q13/P13-1)</f>
        <v>0.00714016785941385</v>
      </c>
    </row>
    <row r="16" customFormat="false" ht="15" hidden="false" customHeight="false" outlineLevel="0" collapsed="false">
      <c r="A16" s="3" t="s">
        <v>134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customFormat="false" ht="15" hidden="false" customHeight="false" outlineLevel="0" collapsed="false">
      <c r="A17" s="5" t="s">
        <v>135</v>
      </c>
      <c r="C17" s="17" t="n">
        <f aca="false">Inputs!$C$58</f>
        <v>0.62</v>
      </c>
      <c r="D17" s="15" t="n">
        <f aca="false">IF(D$4&gt;=2030,Inputs!$F$36,Inputs!$C$58+(Inputs!$F$36-Inputs!$C$58)*(D$4-2026)/4)</f>
        <v>0.6275</v>
      </c>
      <c r="E17" s="15" t="n">
        <f aca="false">IF(E$4&gt;=2030,Inputs!$F$36,Inputs!$C$58+(Inputs!$F$36-Inputs!$C$58)*(E$4-2026)/4)</f>
        <v>0.635</v>
      </c>
      <c r="F17" s="15" t="n">
        <f aca="false">IF(F$4&gt;=2030,Inputs!$F$36,Inputs!$C$58+(Inputs!$F$36-Inputs!$C$58)*(F$4-2026)/4)</f>
        <v>0.6425</v>
      </c>
      <c r="G17" s="15" t="n">
        <f aca="false">IF(G$4&gt;=2030,Inputs!$F$36,Inputs!$C$58+(Inputs!$F$36-Inputs!$C$58)*(G$4-2026)/4)</f>
        <v>0.65</v>
      </c>
      <c r="H17" s="15" t="n">
        <f aca="false">IF(H$4&gt;=2030,Inputs!$F$36,Inputs!$C$58+(Inputs!$F$36-Inputs!$C$58)*(H$4-2026)/4)</f>
        <v>0.65</v>
      </c>
      <c r="I17" s="15" t="n">
        <f aca="false">IF(I$4&gt;=2030,Inputs!$F$36,Inputs!$C$58+(Inputs!$F$36-Inputs!$C$58)*(I$4-2026)/4)</f>
        <v>0.65</v>
      </c>
      <c r="J17" s="15" t="n">
        <f aca="false">IF(J$4&gt;=2030,Inputs!$F$36,Inputs!$C$58+(Inputs!$F$36-Inputs!$C$58)*(J$4-2026)/4)</f>
        <v>0.65</v>
      </c>
      <c r="K17" s="15" t="n">
        <f aca="false">IF(K$4&gt;=2030,Inputs!$F$36,Inputs!$C$58+(Inputs!$F$36-Inputs!$C$58)*(K$4-2026)/4)</f>
        <v>0.65</v>
      </c>
      <c r="L17" s="15" t="n">
        <f aca="false">IF(L$4&gt;=2030,Inputs!$F$36,Inputs!$C$58+(Inputs!$F$36-Inputs!$C$58)*(L$4-2026)/4)</f>
        <v>0.65</v>
      </c>
      <c r="M17" s="15" t="n">
        <f aca="false">IF(M$4&gt;=2030,Inputs!$F$36,Inputs!$C$58+(Inputs!$F$36-Inputs!$C$58)*(M$4-2026)/4)</f>
        <v>0.65</v>
      </c>
      <c r="N17" s="15" t="n">
        <f aca="false">IF(N$4&gt;=2030,Inputs!$F$36,Inputs!$C$58+(Inputs!$F$36-Inputs!$C$58)*(N$4-2026)/4)</f>
        <v>0.65</v>
      </c>
      <c r="O17" s="15" t="n">
        <f aca="false">IF(O$4&gt;=2030,Inputs!$F$36,Inputs!$C$58+(Inputs!$F$36-Inputs!$C$58)*(O$4-2026)/4)</f>
        <v>0.65</v>
      </c>
      <c r="P17" s="15" t="n">
        <f aca="false">IF(P$4&gt;=2030,Inputs!$F$36,Inputs!$C$58+(Inputs!$F$36-Inputs!$C$58)*(P$4-2026)/4)</f>
        <v>0.65</v>
      </c>
      <c r="Q17" s="15" t="n">
        <f aca="false">IF(Q$4&gt;=2030,Inputs!$F$36,Inputs!$C$58+(Inputs!$F$36-Inputs!$C$58)*(Q$4-2026)/4)</f>
        <v>0.65</v>
      </c>
    </row>
    <row r="18" customFormat="false" ht="15" hidden="false" customHeight="false" outlineLevel="0" collapsed="false">
      <c r="A18" s="5" t="s">
        <v>136</v>
      </c>
      <c r="C18" s="7" t="n">
        <f aca="false">C8*(1-C17)</f>
        <v>797.8176</v>
      </c>
      <c r="D18" s="7" t="n">
        <f aca="false">D8*(1-D17)</f>
        <v>844.636896</v>
      </c>
      <c r="E18" s="7" t="n">
        <f aca="false">E8*(1-E17)</f>
        <v>893.84124672</v>
      </c>
      <c r="F18" s="7" t="n">
        <f aca="false">F8*(1-F17)</f>
        <v>945.5126174208</v>
      </c>
      <c r="G18" s="7" t="n">
        <f aca="false">G8*(1-G17)</f>
        <v>999.73082345472</v>
      </c>
      <c r="H18" s="7" t="n">
        <f aca="false">H8*(1-H17)</f>
        <v>1039.72005639291</v>
      </c>
      <c r="I18" s="7" t="n">
        <f aca="false">I8*(1-I17)</f>
        <v>1081.30885864863</v>
      </c>
      <c r="J18" s="7" t="n">
        <f aca="false">J8*(1-J17)</f>
        <v>1124.56121299457</v>
      </c>
      <c r="K18" s="7" t="n">
        <f aca="false">K8*(1-K17)</f>
        <v>1169.54366151435</v>
      </c>
      <c r="L18" s="7" t="n">
        <f aca="false">L8*(1-L17)</f>
        <v>1216.32540797493</v>
      </c>
      <c r="M18" s="7" t="n">
        <f aca="false">M8*(1-M17)</f>
        <v>1240.65191613443</v>
      </c>
      <c r="N18" s="7" t="n">
        <f aca="false">N8*(1-N17)</f>
        <v>1265.46495445711</v>
      </c>
      <c r="O18" s="7" t="n">
        <f aca="false">O8*(1-O17)</f>
        <v>1290.77425354626</v>
      </c>
      <c r="P18" s="7" t="n">
        <f aca="false">P8*(1-P17)</f>
        <v>1316.58973861718</v>
      </c>
      <c r="Q18" s="7" t="n">
        <f aca="false">Q8*(1-Q17)</f>
        <v>1342.92153338953</v>
      </c>
    </row>
    <row r="19" customFormat="false" ht="15" hidden="false" customHeight="false" outlineLevel="0" collapsed="false">
      <c r="A19" s="5" t="s">
        <v>137</v>
      </c>
      <c r="C19" s="7" t="n">
        <f aca="false">C12*Inputs!$F$47</f>
        <v>0</v>
      </c>
      <c r="D19" s="7" t="n">
        <f aca="false">D12*Inputs!$F$47</f>
        <v>0</v>
      </c>
      <c r="E19" s="7" t="n">
        <f aca="false">E12*Inputs!$F$47</f>
        <v>150</v>
      </c>
      <c r="F19" s="7" t="n">
        <f aca="false">F12*Inputs!$F$47</f>
        <v>300</v>
      </c>
      <c r="G19" s="7" t="n">
        <f aca="false">G12*Inputs!$F$47</f>
        <v>582.291666666667</v>
      </c>
      <c r="H19" s="7" t="n">
        <f aca="false">H12*Inputs!$F$47</f>
        <v>864.583333333333</v>
      </c>
      <c r="I19" s="7" t="n">
        <f aca="false">I12*Inputs!$F$47</f>
        <v>1146.875</v>
      </c>
      <c r="J19" s="7" t="n">
        <f aca="false">J12*Inputs!$F$47</f>
        <v>1429.16666666667</v>
      </c>
      <c r="K19" s="7" t="n">
        <f aca="false">K12*Inputs!$F$47</f>
        <v>1561.45833333333</v>
      </c>
      <c r="L19" s="7" t="n">
        <f aca="false">L12*Inputs!$F$47</f>
        <v>1693.75</v>
      </c>
      <c r="M19" s="7" t="n">
        <f aca="false">M12*Inputs!$F$47</f>
        <v>1693.75</v>
      </c>
      <c r="N19" s="7" t="n">
        <f aca="false">N12*Inputs!$F$47</f>
        <v>1693.75</v>
      </c>
      <c r="O19" s="7" t="n">
        <f aca="false">O12*Inputs!$F$47</f>
        <v>1693.75</v>
      </c>
      <c r="P19" s="7" t="n">
        <f aca="false">P12*Inputs!$F$47</f>
        <v>1693.75</v>
      </c>
      <c r="Q19" s="7" t="n">
        <f aca="false">Q12*Inputs!$F$47</f>
        <v>1693.75</v>
      </c>
    </row>
    <row r="20" customFormat="false" ht="15" hidden="false" customHeight="false" outlineLevel="0" collapsed="false">
      <c r="A20" s="9" t="s">
        <v>138</v>
      </c>
      <c r="C20" s="39" t="n">
        <f aca="false">C13-C18-C19</f>
        <v>1301.7024</v>
      </c>
      <c r="D20" s="39" t="n">
        <f aca="false">D13-D18-D19</f>
        <v>1422.844704</v>
      </c>
      <c r="E20" s="39" t="n">
        <f aca="false">E13-E18-E19</f>
        <v>2005.03888128</v>
      </c>
      <c r="F20" s="39" t="n">
        <f aca="false">F13-F18-F19</f>
        <v>2599.2779208192</v>
      </c>
      <c r="G20" s="39" t="n">
        <f aca="false">G13-G18-G19</f>
        <v>3603.51795784448</v>
      </c>
      <c r="H20" s="39" t="n">
        <f aca="false">H13-H18-H19</f>
        <v>4524.65867615826</v>
      </c>
      <c r="I20" s="39" t="n">
        <f aca="false">I13-I18-I19</f>
        <v>5448.77002320459</v>
      </c>
      <c r="J20" s="39" t="n">
        <f aca="false">J13-J18-J19</f>
        <v>6375.97082413277</v>
      </c>
      <c r="K20" s="39" t="n">
        <f aca="false">K13-K18-K19</f>
        <v>6856.38465709809</v>
      </c>
      <c r="L20" s="39" t="n">
        <f aca="false">L13-L18-L19</f>
        <v>7340.14004338201</v>
      </c>
      <c r="M20" s="39" t="n">
        <f aca="false">M13-M18-M19</f>
        <v>7385.31784424965</v>
      </c>
      <c r="N20" s="39" t="n">
        <f aca="false">N13-N18-N19</f>
        <v>7431.39920113464</v>
      </c>
      <c r="O20" s="39" t="n">
        <f aca="false">O13-O18-O19</f>
        <v>7478.40218515733</v>
      </c>
      <c r="P20" s="39" t="n">
        <f aca="false">P13-P18-P19</f>
        <v>7526.34522886048</v>
      </c>
      <c r="Q20" s="39" t="n">
        <f aca="false">Q13-Q18-Q19</f>
        <v>7575.24713343769</v>
      </c>
    </row>
    <row r="21" customFormat="false" ht="15" hidden="false" customHeight="false" outlineLevel="0" collapsed="false">
      <c r="A21" s="5" t="s">
        <v>139</v>
      </c>
      <c r="C21" s="15" t="n">
        <f aca="false">IF(C13=0,0,C20/C13)</f>
        <v>0.62</v>
      </c>
      <c r="D21" s="15" t="n">
        <f aca="false">IF(D13=0,0,D20/D13)</f>
        <v>0.6275</v>
      </c>
      <c r="E21" s="15" t="n">
        <f aca="false">IF(E13=0,0,E20/E13)</f>
        <v>0.657631260365511</v>
      </c>
      <c r="F21" s="15" t="n">
        <f aca="false">IF(F13=0,0,F20/F13)</f>
        <v>0.676051892805857</v>
      </c>
      <c r="G21" s="15" t="n">
        <f aca="false">IF(G13=0,0,G20/G13)</f>
        <v>0.694916565400244</v>
      </c>
      <c r="H21" s="15" t="n">
        <f aca="false">IF(H13=0,0,H20/H13)</f>
        <v>0.703793027519716</v>
      </c>
      <c r="I21" s="15" t="n">
        <f aca="false">IF(I13=0,0,I20/I13)</f>
        <v>0.709756774244065</v>
      </c>
      <c r="J21" s="15" t="n">
        <f aca="false">IF(J13=0,0,J20/J13)</f>
        <v>0.71401858401155</v>
      </c>
      <c r="K21" s="15" t="n">
        <f aca="false">IF(K13=0,0,K20/K13)</f>
        <v>0.715146359066115</v>
      </c>
      <c r="L21" s="15" t="n">
        <f aca="false">IF(L13=0,0,L20/L13)</f>
        <v>0.716096171657573</v>
      </c>
      <c r="M21" s="15" t="n">
        <f aca="false">IF(M13=0,0,M20/M13)</f>
        <v>0.715651007559413</v>
      </c>
      <c r="N21" s="15" t="n">
        <f aca="false">IF(N13=0,0,N20/N13)</f>
        <v>0.715203075569446</v>
      </c>
      <c r="O21" s="15" t="n">
        <f aca="false">IF(O13=0,0,O20/O13)</f>
        <v>0.71475243842811</v>
      </c>
      <c r="P21" s="15" t="n">
        <f aca="false">IF(P13=0,0,P20/P13)</f>
        <v>0.714299160702931</v>
      </c>
      <c r="Q21" s="15" t="n">
        <f aca="false">IF(Q13=0,0,Q20/Q13)</f>
        <v>0.713843308761672</v>
      </c>
    </row>
    <row r="22" customFormat="false" ht="15" hidden="false" customHeight="false" outlineLevel="0" collapsed="false">
      <c r="A22" s="5" t="s">
        <v>140</v>
      </c>
      <c r="C22" s="27" t="n">
        <v>2900</v>
      </c>
      <c r="D22" s="27" t="n">
        <v>2400</v>
      </c>
      <c r="E22" s="7" t="n">
        <f aca="false">MAX(Inputs!$F$50,Inputs!$C$59*E13)</f>
        <v>2400</v>
      </c>
      <c r="F22" s="7" t="n">
        <f aca="false">MAX(Inputs!$F$50,Inputs!$C$59*F13)</f>
        <v>2400</v>
      </c>
      <c r="G22" s="7" t="n">
        <f aca="false">MAX(Inputs!$F$50,Inputs!$C$59*G13)</f>
        <v>2400</v>
      </c>
      <c r="H22" s="7" t="n">
        <f aca="false">MAX(Inputs!$F$50,Inputs!$C$59*H13)</f>
        <v>2400</v>
      </c>
      <c r="I22" s="7" t="n">
        <f aca="false">MAX(Inputs!$F$50,Inputs!$C$59*I13)</f>
        <v>2400</v>
      </c>
      <c r="J22" s="7" t="n">
        <f aca="false">MAX(Inputs!$F$50,Inputs!$C$59*J13)</f>
        <v>2400</v>
      </c>
      <c r="K22" s="7" t="n">
        <f aca="false">MAX(Inputs!$F$50,Inputs!$C$59*K13)</f>
        <v>2400</v>
      </c>
      <c r="L22" s="7" t="n">
        <f aca="false">MAX(Inputs!$F$50,Inputs!$C$59*L13)</f>
        <v>2400</v>
      </c>
      <c r="M22" s="7" t="n">
        <f aca="false">MAX(Inputs!$F$50,Inputs!$C$59*M13)</f>
        <v>2400</v>
      </c>
      <c r="N22" s="7" t="n">
        <f aca="false">MAX(Inputs!$F$50,Inputs!$C$59*N13)</f>
        <v>2400</v>
      </c>
      <c r="O22" s="7" t="n">
        <f aca="false">MAX(Inputs!$F$50,Inputs!$C$59*O13)</f>
        <v>2400</v>
      </c>
      <c r="P22" s="7" t="n">
        <f aca="false">MAX(Inputs!$F$50,Inputs!$C$59*P13)</f>
        <v>2400</v>
      </c>
      <c r="Q22" s="7" t="n">
        <f aca="false">MAX(Inputs!$F$50,Inputs!$C$59*Q13)</f>
        <v>2400</v>
      </c>
    </row>
    <row r="23" customFormat="false" ht="15" hidden="false" customHeight="false" outlineLevel="0" collapsed="false">
      <c r="A23" s="5" t="s">
        <v>141</v>
      </c>
      <c r="C23" s="27" t="n">
        <v>1000</v>
      </c>
      <c r="D23" s="27" t="n">
        <v>950</v>
      </c>
      <c r="E23" s="7" t="n">
        <f aca="false">MAX(Inputs!$F$51,Inputs!$C$60*E13)</f>
        <v>900</v>
      </c>
      <c r="F23" s="7" t="n">
        <f aca="false">MAX(Inputs!$F$51,Inputs!$C$60*F13)</f>
        <v>900</v>
      </c>
      <c r="G23" s="7" t="n">
        <f aca="false">MAX(Inputs!$F$51,Inputs!$C$60*G13)</f>
        <v>900</v>
      </c>
      <c r="H23" s="7" t="n">
        <f aca="false">MAX(Inputs!$F$51,Inputs!$C$60*H13)</f>
        <v>900</v>
      </c>
      <c r="I23" s="7" t="n">
        <f aca="false">MAX(Inputs!$F$51,Inputs!$C$60*I13)</f>
        <v>921.234465822386</v>
      </c>
      <c r="J23" s="7" t="n">
        <f aca="false">MAX(Inputs!$F$51,Inputs!$C$60*J13)</f>
        <v>1071.56384445528</v>
      </c>
      <c r="K23" s="7" t="n">
        <f aca="false">MAX(Inputs!$F$51,Inputs!$C$60*K13)</f>
        <v>1150.48639823349</v>
      </c>
      <c r="L23" s="7" t="n">
        <f aca="false">MAX(Inputs!$F$51,Inputs!$C$60*L13)</f>
        <v>1230.02585416283</v>
      </c>
      <c r="M23" s="7" t="n">
        <f aca="false">MAX(Inputs!$F$51,Inputs!$C$60*M13)</f>
        <v>1238.36637124609</v>
      </c>
      <c r="N23" s="7" t="n">
        <f aca="false">MAX(Inputs!$F$51,Inputs!$C$60*N13)</f>
        <v>1246.87369867101</v>
      </c>
      <c r="O23" s="7" t="n">
        <f aca="false">MAX(Inputs!$F$51,Inputs!$C$60*O13)</f>
        <v>1255.55117264443</v>
      </c>
      <c r="P23" s="7" t="n">
        <f aca="false">MAX(Inputs!$F$51,Inputs!$C$60*P13)</f>
        <v>1264.40219609732</v>
      </c>
      <c r="Q23" s="7" t="n">
        <f aca="false">MAX(Inputs!$F$51,Inputs!$C$60*Q13)</f>
        <v>1273.43024001927</v>
      </c>
    </row>
    <row r="24" customFormat="false" ht="15" hidden="false" customHeight="false" outlineLevel="0" collapsed="false">
      <c r="A24" s="9" t="s">
        <v>142</v>
      </c>
      <c r="C24" s="38" t="n">
        <f aca="false">C20-C22-C23</f>
        <v>-2598.2976</v>
      </c>
      <c r="D24" s="38" t="n">
        <f aca="false">D20-D22-D23</f>
        <v>-1927.155296</v>
      </c>
      <c r="E24" s="38" t="n">
        <f aca="false">E20-E22-E23</f>
        <v>-1294.96111872</v>
      </c>
      <c r="F24" s="38" t="n">
        <f aca="false">F20-F22-F23</f>
        <v>-700.7220791808</v>
      </c>
      <c r="G24" s="38" t="n">
        <f aca="false">G20-G22-G23</f>
        <v>303.517957844481</v>
      </c>
      <c r="H24" s="38" t="n">
        <f aca="false">H20-H22-H23</f>
        <v>1224.65867615826</v>
      </c>
      <c r="I24" s="38" t="n">
        <f aca="false">I20-I22-I23</f>
        <v>2127.53555738221</v>
      </c>
      <c r="J24" s="38" t="n">
        <f aca="false">J20-J22-J23</f>
        <v>2904.40697967749</v>
      </c>
      <c r="K24" s="38" t="n">
        <f aca="false">K20-K22-K23</f>
        <v>3305.89825886459</v>
      </c>
      <c r="L24" s="38" t="n">
        <f aca="false">L20-L22-L23</f>
        <v>3710.11418921918</v>
      </c>
      <c r="M24" s="38" t="n">
        <f aca="false">M20-M22-M23</f>
        <v>3746.95147300356</v>
      </c>
      <c r="N24" s="38" t="n">
        <f aca="false">N20-N22-N23</f>
        <v>3784.52550246363</v>
      </c>
      <c r="O24" s="38" t="n">
        <f aca="false">O20-O22-O23</f>
        <v>3822.8510125129</v>
      </c>
      <c r="P24" s="38" t="n">
        <f aca="false">P20-P22-P23</f>
        <v>3861.94303276316</v>
      </c>
      <c r="Q24" s="38" t="n">
        <f aca="false">Q20-Q22-Q23</f>
        <v>3901.81689341842</v>
      </c>
    </row>
    <row r="25" customFormat="false" ht="15" hidden="false" customHeight="false" outlineLevel="0" collapsed="false">
      <c r="A25" s="5" t="s">
        <v>143</v>
      </c>
      <c r="C25" s="15" t="n">
        <f aca="false">IF(C13=0,0,C24/C13)</f>
        <v>-1.2375674439872</v>
      </c>
      <c r="D25" s="15" t="n">
        <f aca="false">IF(D13=0,0,D24/D13)</f>
        <v>-0.849910004120871</v>
      </c>
      <c r="E25" s="15" t="n">
        <f aca="false">IF(E13=0,0,E24/E13)</f>
        <v>-0.424733365811094</v>
      </c>
      <c r="F25" s="15" t="n">
        <f aca="false">IF(F13=0,0,F24/F13)</f>
        <v>-0.182252341762567</v>
      </c>
      <c r="G25" s="15" t="n">
        <f aca="false">IF(G13=0,0,G24/G13)</f>
        <v>0.0585315958654882</v>
      </c>
      <c r="H25" s="15" t="n">
        <f aca="false">IF(H13=0,0,H24/H13)</f>
        <v>0.190490885403874</v>
      </c>
      <c r="I25" s="15" t="n">
        <f aca="false">IF(I13=0,0,I24/I13)</f>
        <v>0.277132778198821</v>
      </c>
      <c r="J25" s="15" t="n">
        <f aca="false">IF(J13=0,0,J24/J13)</f>
        <v>0.325252517024284</v>
      </c>
      <c r="K25" s="15" t="n">
        <f aca="false">IF(K13=0,0,K24/K13)</f>
        <v>0.344817454315734</v>
      </c>
      <c r="L25" s="15" t="n">
        <f aca="false">IF(L13=0,0,L24/L13)</f>
        <v>0.361954751763586</v>
      </c>
      <c r="M25" s="15" t="n">
        <f aca="false">IF(M13=0,0,M24/M13)</f>
        <v>0.3630865527364</v>
      </c>
      <c r="N25" s="15" t="n">
        <f aca="false">IF(N13=0,0,N24/N13)</f>
        <v>0.364225390895395</v>
      </c>
      <c r="O25" s="15" t="n">
        <f aca="false">IF(O13=0,0,O24/O13)</f>
        <v>0.365371106727056</v>
      </c>
      <c r="P25" s="15" t="n">
        <f aca="false">IF(P13=0,0,P24/P13)</f>
        <v>0.366523536072623</v>
      </c>
      <c r="Q25" s="15" t="n">
        <f aca="false">IF(Q13=0,0,Q24/Q13)</f>
        <v>0.36768251019634</v>
      </c>
    </row>
    <row r="27" customFormat="false" ht="15" hidden="false" customHeight="false" outlineLevel="0" collapsed="false">
      <c r="A27" s="3" t="s">
        <v>144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customFormat="false" ht="15" hidden="false" customHeight="false" outlineLevel="0" collapsed="false">
      <c r="A28" s="5" t="s">
        <v>145</v>
      </c>
      <c r="D28" s="6" t="n">
        <f aca="false">Inputs!$C$67</f>
        <v>12000</v>
      </c>
      <c r="E28" s="7" t="n">
        <f aca="false">D30</f>
        <v>12000</v>
      </c>
      <c r="F28" s="7" t="n">
        <f aca="false">E30</f>
        <v>12000</v>
      </c>
      <c r="G28" s="7" t="n">
        <f aca="false">F30</f>
        <v>12000</v>
      </c>
      <c r="H28" s="7" t="n">
        <f aca="false">G30</f>
        <v>11757.1856337244</v>
      </c>
      <c r="I28" s="7" t="n">
        <f aca="false">H30</f>
        <v>10777.4586927978</v>
      </c>
      <c r="J28" s="7" t="n">
        <f aca="false">I30</f>
        <v>9075.43024689204</v>
      </c>
      <c r="K28" s="7" t="n">
        <f aca="false">J30</f>
        <v>6751.90466315005</v>
      </c>
      <c r="L28" s="7" t="n">
        <f aca="false">K30</f>
        <v>4107.18605605838</v>
      </c>
      <c r="M28" s="7" t="n">
        <f aca="false">L30</f>
        <v>1139.09470468303</v>
      </c>
      <c r="N28" s="7" t="n">
        <f aca="false">M30</f>
        <v>0</v>
      </c>
      <c r="O28" s="7" t="n">
        <f aca="false">N30</f>
        <v>0</v>
      </c>
      <c r="P28" s="7" t="n">
        <f aca="false">O30</f>
        <v>0</v>
      </c>
      <c r="Q28" s="7" t="n">
        <f aca="false">P30</f>
        <v>0</v>
      </c>
    </row>
    <row r="29" customFormat="false" ht="15" hidden="false" customHeight="false" outlineLevel="0" collapsed="false">
      <c r="A29" s="5" t="s">
        <v>146</v>
      </c>
      <c r="D29" s="7" t="n">
        <f aca="false">MIN(D28,Inputs!$C$68*MAX(D24,0))</f>
        <v>0</v>
      </c>
      <c r="E29" s="7" t="n">
        <f aca="false">MIN(E28,Inputs!$C$68*MAX(E24,0))</f>
        <v>0</v>
      </c>
      <c r="F29" s="7" t="n">
        <f aca="false">MIN(F28,Inputs!$C$68*MAX(F24,0))</f>
        <v>0</v>
      </c>
      <c r="G29" s="7" t="n">
        <f aca="false">MIN(G28,Inputs!$C$68*MAX(G24,0))</f>
        <v>242.814366275585</v>
      </c>
      <c r="H29" s="7" t="n">
        <f aca="false">MIN(H28,Inputs!$C$68*MAX(H24,0))</f>
        <v>979.726940926608</v>
      </c>
      <c r="I29" s="7" t="n">
        <f aca="false">MIN(I28,Inputs!$C$68*MAX(I24,0))</f>
        <v>1702.02844590576</v>
      </c>
      <c r="J29" s="7" t="n">
        <f aca="false">MIN(J28,Inputs!$C$68*MAX(J24,0))</f>
        <v>2323.52558374199</v>
      </c>
      <c r="K29" s="7" t="n">
        <f aca="false">MIN(K28,Inputs!$C$68*MAX(K24,0))</f>
        <v>2644.71860709167</v>
      </c>
      <c r="L29" s="7" t="n">
        <f aca="false">MIN(L28,Inputs!$C$68*MAX(L24,0))</f>
        <v>2968.09135137534</v>
      </c>
      <c r="M29" s="7" t="n">
        <f aca="false">MIN(M28,Inputs!$C$68*MAX(M24,0))</f>
        <v>1139.09470468303</v>
      </c>
      <c r="N29" s="7" t="n">
        <f aca="false">MIN(N28,Inputs!$C$68*MAX(N24,0))</f>
        <v>0</v>
      </c>
      <c r="O29" s="7" t="n">
        <f aca="false">MIN(O28,Inputs!$C$68*MAX(O24,0))</f>
        <v>0</v>
      </c>
      <c r="P29" s="7" t="n">
        <f aca="false">MIN(P28,Inputs!$C$68*MAX(P24,0))</f>
        <v>0</v>
      </c>
      <c r="Q29" s="7" t="n">
        <f aca="false">MIN(Q28,Inputs!$C$68*MAX(Q24,0))</f>
        <v>0</v>
      </c>
    </row>
    <row r="30" customFormat="false" ht="15" hidden="false" customHeight="false" outlineLevel="0" collapsed="false">
      <c r="A30" s="5" t="s">
        <v>147</v>
      </c>
      <c r="D30" s="7" t="n">
        <f aca="false">D28-D29</f>
        <v>12000</v>
      </c>
      <c r="E30" s="7" t="n">
        <f aca="false">E28-E29</f>
        <v>12000</v>
      </c>
      <c r="F30" s="7" t="n">
        <f aca="false">F28-F29</f>
        <v>12000</v>
      </c>
      <c r="G30" s="7" t="n">
        <f aca="false">G28-G29</f>
        <v>11757.1856337244</v>
      </c>
      <c r="H30" s="7" t="n">
        <f aca="false">H28-H29</f>
        <v>10777.4586927978</v>
      </c>
      <c r="I30" s="7" t="n">
        <f aca="false">I28-I29</f>
        <v>9075.43024689204</v>
      </c>
      <c r="J30" s="7" t="n">
        <f aca="false">J28-J29</f>
        <v>6751.90466315005</v>
      </c>
      <c r="K30" s="7" t="n">
        <f aca="false">K28-K29</f>
        <v>4107.18605605838</v>
      </c>
      <c r="L30" s="7" t="n">
        <f aca="false">L28-L29</f>
        <v>1139.09470468303</v>
      </c>
      <c r="M30" s="7" t="n">
        <f aca="false">M28-M29</f>
        <v>0</v>
      </c>
      <c r="N30" s="7" t="n">
        <f aca="false">N28-N29</f>
        <v>0</v>
      </c>
      <c r="O30" s="7" t="n">
        <f aca="false">O28-O29</f>
        <v>0</v>
      </c>
      <c r="P30" s="7" t="n">
        <f aca="false">P28-P29</f>
        <v>0</v>
      </c>
      <c r="Q30" s="7" t="n">
        <f aca="false">Q28-Q29</f>
        <v>0</v>
      </c>
    </row>
    <row r="31" customFormat="false" ht="15" hidden="false" customHeight="false" outlineLevel="0" collapsed="false">
      <c r="A31" s="5" t="s">
        <v>148</v>
      </c>
      <c r="D31" s="7" t="n">
        <f aca="false">MAX(D24,0)-D29</f>
        <v>0</v>
      </c>
      <c r="E31" s="7" t="n">
        <f aca="false">MAX(E24,0)-E29</f>
        <v>0</v>
      </c>
      <c r="F31" s="7" t="n">
        <f aca="false">MAX(F24,0)-F29</f>
        <v>0</v>
      </c>
      <c r="G31" s="7" t="n">
        <f aca="false">MAX(G24,0)-G29</f>
        <v>60.7035915688962</v>
      </c>
      <c r="H31" s="7" t="n">
        <f aca="false">MAX(H24,0)-H29</f>
        <v>244.931735231652</v>
      </c>
      <c r="I31" s="7" t="n">
        <f aca="false">MAX(I24,0)-I29</f>
        <v>425.507111476441</v>
      </c>
      <c r="J31" s="7" t="n">
        <f aca="false">MAX(J24,0)-J29</f>
        <v>580.881395935498</v>
      </c>
      <c r="K31" s="7" t="n">
        <f aca="false">MAX(K24,0)-K29</f>
        <v>661.179651772919</v>
      </c>
      <c r="L31" s="7" t="n">
        <f aca="false">MAX(L24,0)-L29</f>
        <v>742.022837843835</v>
      </c>
      <c r="M31" s="7" t="n">
        <f aca="false">MAX(M24,0)-M29</f>
        <v>2607.85676832053</v>
      </c>
      <c r="N31" s="7" t="n">
        <f aca="false">MAX(N24,0)-N29</f>
        <v>3784.52550246363</v>
      </c>
      <c r="O31" s="7" t="n">
        <f aca="false">MAX(O24,0)-O29</f>
        <v>3822.8510125129</v>
      </c>
      <c r="P31" s="7" t="n">
        <f aca="false">MAX(P24,0)-P29</f>
        <v>3861.94303276316</v>
      </c>
      <c r="Q31" s="7" t="n">
        <f aca="false">MAX(Q24,0)-Q29</f>
        <v>3901.81689341842</v>
      </c>
    </row>
    <row r="32" customFormat="false" ht="15" hidden="false" customHeight="false" outlineLevel="0" collapsed="false">
      <c r="A32" s="5" t="s">
        <v>149</v>
      </c>
      <c r="D32" s="7" t="n">
        <f aca="false">D31*Inputs!$C$66</f>
        <v>0</v>
      </c>
      <c r="E32" s="7" t="n">
        <f aca="false">E31*Inputs!$C$66</f>
        <v>0</v>
      </c>
      <c r="F32" s="7" t="n">
        <f aca="false">F31*Inputs!$C$66</f>
        <v>0</v>
      </c>
      <c r="G32" s="7" t="n">
        <f aca="false">G31*Inputs!$C$66</f>
        <v>12.7477542294682</v>
      </c>
      <c r="H32" s="7" t="n">
        <f aca="false">H31*Inputs!$C$66</f>
        <v>51.4356643986469</v>
      </c>
      <c r="I32" s="7" t="n">
        <f aca="false">I31*Inputs!$C$66</f>
        <v>89.3564934100526</v>
      </c>
      <c r="J32" s="7" t="n">
        <f aca="false">J31*Inputs!$C$66</f>
        <v>121.985093146455</v>
      </c>
      <c r="K32" s="7" t="n">
        <f aca="false">K31*Inputs!$C$66</f>
        <v>138.847726872313</v>
      </c>
      <c r="L32" s="7" t="n">
        <f aca="false">L31*Inputs!$C$66</f>
        <v>155.824795947205</v>
      </c>
      <c r="M32" s="7" t="n">
        <f aca="false">M31*Inputs!$C$66</f>
        <v>547.649921347311</v>
      </c>
      <c r="N32" s="7" t="n">
        <f aca="false">N31*Inputs!$C$66</f>
        <v>794.750355517362</v>
      </c>
      <c r="O32" s="7" t="n">
        <f aca="false">O31*Inputs!$C$66</f>
        <v>802.79871262771</v>
      </c>
      <c r="P32" s="7" t="n">
        <f aca="false">P31*Inputs!$C$66</f>
        <v>811.008036880264</v>
      </c>
      <c r="Q32" s="7" t="n">
        <f aca="false">Q31*Inputs!$C$66</f>
        <v>819.381547617869</v>
      </c>
    </row>
    <row r="34" customFormat="false" ht="15" hidden="false" customHeight="false" outlineLevel="0" collapsed="false">
      <c r="A34" s="3" t="s">
        <v>150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customFormat="false" ht="15" hidden="false" customHeight="false" outlineLevel="0" collapsed="false">
      <c r="A35" s="5" t="s">
        <v>151</v>
      </c>
      <c r="D35" s="7" t="n">
        <f aca="false">D24</f>
        <v>-1927.155296</v>
      </c>
      <c r="E35" s="7" t="n">
        <f aca="false">E24</f>
        <v>-1294.96111872</v>
      </c>
      <c r="F35" s="7" t="n">
        <f aca="false">F24</f>
        <v>-700.7220791808</v>
      </c>
      <c r="G35" s="7" t="n">
        <f aca="false">G24</f>
        <v>303.517957844481</v>
      </c>
      <c r="H35" s="7" t="n">
        <f aca="false">H24</f>
        <v>1224.65867615826</v>
      </c>
      <c r="I35" s="7" t="n">
        <f aca="false">I24</f>
        <v>2127.53555738221</v>
      </c>
      <c r="J35" s="7" t="n">
        <f aca="false">J24</f>
        <v>2904.40697967749</v>
      </c>
      <c r="K35" s="7" t="n">
        <f aca="false">K24</f>
        <v>3305.89825886459</v>
      </c>
      <c r="L35" s="7" t="n">
        <f aca="false">L24</f>
        <v>3710.11418921918</v>
      </c>
      <c r="M35" s="7" t="n">
        <f aca="false">M24</f>
        <v>3746.95147300356</v>
      </c>
      <c r="N35" s="7" t="n">
        <f aca="false">N24</f>
        <v>3784.52550246363</v>
      </c>
      <c r="O35" s="7" t="n">
        <f aca="false">O24</f>
        <v>3822.8510125129</v>
      </c>
      <c r="P35" s="7" t="n">
        <f aca="false">P24</f>
        <v>3861.94303276316</v>
      </c>
      <c r="Q35" s="7" t="n">
        <f aca="false">Q24</f>
        <v>3901.81689341842</v>
      </c>
    </row>
    <row r="36" customFormat="false" ht="15" hidden="false" customHeight="false" outlineLevel="0" collapsed="false">
      <c r="A36" s="5" t="s">
        <v>152</v>
      </c>
      <c r="D36" s="7" t="n">
        <f aca="false">-D32</f>
        <v>-0</v>
      </c>
      <c r="E36" s="7" t="n">
        <f aca="false">-E32</f>
        <v>-0</v>
      </c>
      <c r="F36" s="7" t="n">
        <f aca="false">-F32</f>
        <v>-0</v>
      </c>
      <c r="G36" s="7" t="n">
        <f aca="false">-G32</f>
        <v>-12.7477542294682</v>
      </c>
      <c r="H36" s="7" t="n">
        <f aca="false">-H32</f>
        <v>-51.4356643986469</v>
      </c>
      <c r="I36" s="7" t="n">
        <f aca="false">-I32</f>
        <v>-89.3564934100526</v>
      </c>
      <c r="J36" s="7" t="n">
        <f aca="false">-J32</f>
        <v>-121.985093146455</v>
      </c>
      <c r="K36" s="7" t="n">
        <f aca="false">-K32</f>
        <v>-138.847726872313</v>
      </c>
      <c r="L36" s="7" t="n">
        <f aca="false">-L32</f>
        <v>-155.824795947205</v>
      </c>
      <c r="M36" s="7" t="n">
        <f aca="false">-M32</f>
        <v>-547.649921347311</v>
      </c>
      <c r="N36" s="7" t="n">
        <f aca="false">-N32</f>
        <v>-794.750355517362</v>
      </c>
      <c r="O36" s="7" t="n">
        <f aca="false">-O32</f>
        <v>-802.79871262771</v>
      </c>
      <c r="P36" s="7" t="n">
        <f aca="false">-P32</f>
        <v>-811.008036880264</v>
      </c>
      <c r="Q36" s="7" t="n">
        <f aca="false">-Q32</f>
        <v>-819.381547617869</v>
      </c>
    </row>
    <row r="37" customFormat="false" ht="15" hidden="false" customHeight="false" outlineLevel="0" collapsed="false">
      <c r="A37" s="5" t="s">
        <v>153</v>
      </c>
      <c r="D37" s="7" t="n">
        <f aca="false">MAX(Inputs!$C$61,Inputs!$C$62*D13)</f>
        <v>350</v>
      </c>
      <c r="E37" s="7" t="n">
        <f aca="false">MAX(Inputs!$C$61,Inputs!$C$62*E13)</f>
        <v>350</v>
      </c>
      <c r="F37" s="7" t="n">
        <f aca="false">MAX(Inputs!$C$61,Inputs!$C$62*F13)</f>
        <v>350</v>
      </c>
      <c r="G37" s="7" t="n">
        <f aca="false">MAX(Inputs!$C$61,Inputs!$C$62*G13)</f>
        <v>350</v>
      </c>
      <c r="H37" s="7" t="n">
        <f aca="false">MAX(Inputs!$C$61,Inputs!$C$62*H13)</f>
        <v>350</v>
      </c>
      <c r="I37" s="7" t="n">
        <f aca="false">MAX(Inputs!$C$61,Inputs!$C$62*I13)</f>
        <v>350</v>
      </c>
      <c r="J37" s="7" t="n">
        <f aca="false">MAX(Inputs!$C$61,Inputs!$C$62*J13)</f>
        <v>350</v>
      </c>
      <c r="K37" s="7" t="n">
        <f aca="false">MAX(Inputs!$C$61,Inputs!$C$62*K13)</f>
        <v>350</v>
      </c>
      <c r="L37" s="7" t="n">
        <f aca="false">MAX(Inputs!$C$61,Inputs!$C$62*L13)</f>
        <v>350</v>
      </c>
      <c r="M37" s="7" t="n">
        <f aca="false">MAX(Inputs!$C$61,Inputs!$C$62*M13)</f>
        <v>350</v>
      </c>
      <c r="N37" s="7" t="n">
        <f aca="false">MAX(Inputs!$C$61,Inputs!$C$62*N13)</f>
        <v>350</v>
      </c>
      <c r="O37" s="7" t="n">
        <f aca="false">MAX(Inputs!$C$61,Inputs!$C$62*O13)</f>
        <v>350</v>
      </c>
      <c r="P37" s="7" t="n">
        <f aca="false">MAX(Inputs!$C$61,Inputs!$C$62*P13)</f>
        <v>350</v>
      </c>
      <c r="Q37" s="7" t="n">
        <f aca="false">MAX(Inputs!$C$61,Inputs!$C$62*Q13)</f>
        <v>350</v>
      </c>
    </row>
    <row r="38" customFormat="false" ht="15" hidden="false" customHeight="false" outlineLevel="0" collapsed="false">
      <c r="A38" s="5" t="s">
        <v>154</v>
      </c>
      <c r="D38" s="7" t="n">
        <f aca="false">-MAX(Inputs!$C$63,Inputs!$C$64*D13)</f>
        <v>-250</v>
      </c>
      <c r="E38" s="7" t="n">
        <f aca="false">-MAX(Inputs!$C$63,Inputs!$C$64*E13)</f>
        <v>-250</v>
      </c>
      <c r="F38" s="7" t="n">
        <f aca="false">-MAX(Inputs!$C$63,Inputs!$C$64*F13)</f>
        <v>-250</v>
      </c>
      <c r="G38" s="7" t="n">
        <f aca="false">-MAX(Inputs!$C$63,Inputs!$C$64*G13)</f>
        <v>-250</v>
      </c>
      <c r="H38" s="7" t="n">
        <f aca="false">-MAX(Inputs!$C$63,Inputs!$C$64*H13)</f>
        <v>-250</v>
      </c>
      <c r="I38" s="7" t="n">
        <f aca="false">-MAX(Inputs!$C$63,Inputs!$C$64*I13)</f>
        <v>-268.693385864863</v>
      </c>
      <c r="J38" s="7" t="n">
        <f aca="false">-MAX(Inputs!$C$63,Inputs!$C$64*J13)</f>
        <v>-312.53945463279</v>
      </c>
      <c r="K38" s="7" t="n">
        <f aca="false">-MAX(Inputs!$C$63,Inputs!$C$64*K13)</f>
        <v>-335.558532818102</v>
      </c>
      <c r="L38" s="7" t="n">
        <f aca="false">-MAX(Inputs!$C$63,Inputs!$C$64*L13)</f>
        <v>-358.757540797493</v>
      </c>
      <c r="M38" s="7" t="n">
        <f aca="false">-MAX(Inputs!$C$63,Inputs!$C$64*M13)</f>
        <v>-361.190191613443</v>
      </c>
      <c r="N38" s="7" t="n">
        <f aca="false">-MAX(Inputs!$C$63,Inputs!$C$64*N13)</f>
        <v>-363.671495445712</v>
      </c>
      <c r="O38" s="7" t="n">
        <f aca="false">-MAX(Inputs!$C$63,Inputs!$C$64*O13)</f>
        <v>-366.202425354626</v>
      </c>
      <c r="P38" s="7" t="n">
        <f aca="false">-MAX(Inputs!$C$63,Inputs!$C$64*P13)</f>
        <v>-368.783973861718</v>
      </c>
      <c r="Q38" s="7" t="n">
        <f aca="false">-MAX(Inputs!$C$63,Inputs!$C$64*Q13)</f>
        <v>-371.417153338953</v>
      </c>
    </row>
    <row r="39" customFormat="false" ht="15" hidden="false" customHeight="false" outlineLevel="0" collapsed="false">
      <c r="A39" s="5" t="s">
        <v>155</v>
      </c>
      <c r="D39" s="7" t="n">
        <f aca="false">-Inputs!$C$65*(D13-C13)</f>
        <v>-25.19424</v>
      </c>
      <c r="E39" s="7" t="n">
        <f aca="false">-Inputs!$C$65*(E13-D13)</f>
        <v>-117.2097792</v>
      </c>
      <c r="F39" s="7" t="n">
        <f aca="false">-Inputs!$C$65*(F13-E13)</f>
        <v>-119.386561536</v>
      </c>
      <c r="G39" s="7" t="n">
        <f aca="false">-Inputs!$C$65*(G13-F13)</f>
        <v>-201.11248645888</v>
      </c>
      <c r="H39" s="7" t="n">
        <f aca="false">-Inputs!$C$65*(H13-G13)</f>
        <v>-186.513242687795</v>
      </c>
      <c r="I39" s="7" t="n">
        <f aca="false">-Inputs!$C$65*(I13-H13)</f>
        <v>-187.198772395307</v>
      </c>
      <c r="J39" s="7" t="n">
        <f aca="false">-Inputs!$C$65*(J13-I13)</f>
        <v>-187.911723291119</v>
      </c>
      <c r="K39" s="7" t="n">
        <f aca="false">-Inputs!$C$65*(K13-J13)</f>
        <v>-98.6531922227644</v>
      </c>
      <c r="L39" s="7" t="n">
        <f aca="false">-Inputs!$C$65*(L13-K13)</f>
        <v>-99.4243199116745</v>
      </c>
      <c r="M39" s="7" t="n">
        <f aca="false">-Inputs!$C$65*(M13-L13)</f>
        <v>-10.4256463540709</v>
      </c>
      <c r="N39" s="7" t="n">
        <f aca="false">-Inputs!$C$65*(N13-M13)</f>
        <v>-10.6341592811521</v>
      </c>
      <c r="O39" s="7" t="n">
        <f aca="false">-Inputs!$C$65*(O13-N13)</f>
        <v>-10.8468424667752</v>
      </c>
      <c r="P39" s="7" t="n">
        <f aca="false">-Inputs!$C$65*(P13-O13)</f>
        <v>-11.063779316111</v>
      </c>
      <c r="Q39" s="7" t="n">
        <f aca="false">-Inputs!$C$65*(Q13-P13)</f>
        <v>-11.2850549024328</v>
      </c>
    </row>
    <row r="40" customFormat="false" ht="15" hidden="false" customHeight="false" outlineLevel="0" collapsed="false">
      <c r="A40" s="9" t="s">
        <v>150</v>
      </c>
      <c r="D40" s="40" t="n">
        <f aca="false">SUM(D35:D39)</f>
        <v>-1852.349536</v>
      </c>
      <c r="E40" s="40" t="n">
        <f aca="false">SUM(E35:E39)</f>
        <v>-1312.17089792</v>
      </c>
      <c r="F40" s="40" t="n">
        <f aca="false">SUM(F35:F39)</f>
        <v>-720.1086407168</v>
      </c>
      <c r="G40" s="40" t="n">
        <f aca="false">SUM(G35:G39)</f>
        <v>189.657717156133</v>
      </c>
      <c r="H40" s="40" t="n">
        <f aca="false">SUM(H35:H39)</f>
        <v>1086.70976907182</v>
      </c>
      <c r="I40" s="40" t="n">
        <f aca="false">SUM(I35:I39)</f>
        <v>1932.28690571198</v>
      </c>
      <c r="J40" s="40" t="n">
        <f aca="false">SUM(J35:J39)</f>
        <v>2631.97070860713</v>
      </c>
      <c r="K40" s="40" t="n">
        <f aca="false">SUM(K35:K39)</f>
        <v>3082.83880695141</v>
      </c>
      <c r="L40" s="40" t="n">
        <f aca="false">SUM(L35:L39)</f>
        <v>3446.1075325628</v>
      </c>
      <c r="M40" s="40" t="n">
        <f aca="false">SUM(M35:M39)</f>
        <v>3177.68571368874</v>
      </c>
      <c r="N40" s="40" t="n">
        <f aca="false">SUM(N35:N39)</f>
        <v>2965.4694922194</v>
      </c>
      <c r="O40" s="40" t="n">
        <f aca="false">SUM(O35:O39)</f>
        <v>2993.00303206379</v>
      </c>
      <c r="P40" s="40" t="n">
        <f aca="false">SUM(P35:P39)</f>
        <v>3021.08724270507</v>
      </c>
      <c r="Q40" s="40" t="n">
        <f aca="false">SUM(Q35:Q39)</f>
        <v>3049.73313755917</v>
      </c>
    </row>
    <row r="42" customFormat="false" ht="15" hidden="false" customHeight="false" outlineLevel="0" collapsed="false">
      <c r="A42" s="3" t="s">
        <v>156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customFormat="false" ht="15" hidden="false" customHeight="false" outlineLevel="0" collapsed="false">
      <c r="A43" s="5" t="s">
        <v>157</v>
      </c>
      <c r="D43" s="8" t="n">
        <f aca="false">(DATE(D$4,6,30)-Inputs!$C$9)/365</f>
        <v>0.734246575342466</v>
      </c>
      <c r="E43" s="8" t="n">
        <f aca="false">(DATE(E$4,6,30)-Inputs!$C$9)/365</f>
        <v>1.73698630136986</v>
      </c>
      <c r="F43" s="8" t="n">
        <f aca="false">(DATE(F$4,6,30)-Inputs!$C$9)/365</f>
        <v>2.73698630136986</v>
      </c>
      <c r="G43" s="8" t="n">
        <f aca="false">(DATE(G$4,6,30)-Inputs!$C$9)/365</f>
        <v>3.73698630136986</v>
      </c>
      <c r="H43" s="8" t="n">
        <f aca="false">(DATE(H$4,6,30)-Inputs!$C$9)/365</f>
        <v>4.73698630136986</v>
      </c>
      <c r="I43" s="8" t="n">
        <f aca="false">(DATE(I$4,6,30)-Inputs!$C$9)/365</f>
        <v>5.73972602739726</v>
      </c>
      <c r="J43" s="8" t="n">
        <f aca="false">(DATE(J$4,6,30)-Inputs!$C$9)/365</f>
        <v>6.73972602739726</v>
      </c>
      <c r="K43" s="8" t="n">
        <f aca="false">(DATE(K$4,6,30)-Inputs!$C$9)/365</f>
        <v>7.73972602739726</v>
      </c>
      <c r="L43" s="8" t="n">
        <f aca="false">(DATE(L$4,6,30)-Inputs!$C$9)/365</f>
        <v>8.73972602739726</v>
      </c>
      <c r="M43" s="8" t="n">
        <f aca="false">(DATE(M$4,6,30)-Inputs!$C$9)/365</f>
        <v>9.74246575342466</v>
      </c>
      <c r="N43" s="8" t="n">
        <f aca="false">(DATE(N$4,6,30)-Inputs!$C$9)/365</f>
        <v>10.7424657534247</v>
      </c>
      <c r="O43" s="8" t="n">
        <f aca="false">(DATE(O$4,6,30)-Inputs!$C$9)/365</f>
        <v>11.7424657534247</v>
      </c>
      <c r="P43" s="8" t="n">
        <f aca="false">(DATE(P$4,6,30)-Inputs!$C$9)/365</f>
        <v>12.7424657534247</v>
      </c>
      <c r="Q43" s="8" t="n">
        <f aca="false">(DATE(Q$4,6,30)-Inputs!$C$9)/365</f>
        <v>13.7452054794521</v>
      </c>
    </row>
    <row r="44" customFormat="false" ht="15" hidden="false" customHeight="false" outlineLevel="0" collapsed="false">
      <c r="A44" s="5" t="s">
        <v>158</v>
      </c>
      <c r="D44" s="8" t="n">
        <f aca="false">1/(1+Inputs!$C$28)^D43</f>
        <v>0.921709395848586</v>
      </c>
      <c r="E44" s="8" t="n">
        <f aca="false">1/(1+Inputs!$C$28)^E43</f>
        <v>0.824595697762023</v>
      </c>
      <c r="F44" s="8" t="n">
        <f aca="false">1/(1+Inputs!$C$28)^F43</f>
        <v>0.737938597308274</v>
      </c>
      <c r="G44" s="8" t="n">
        <f aca="false">1/(1+Inputs!$C$28)^G43</f>
        <v>0.660388327122294</v>
      </c>
      <c r="H44" s="8" t="n">
        <f aca="false">1/(1+Inputs!$C$28)^H43</f>
        <v>0.590987846672011</v>
      </c>
      <c r="I44" s="8" t="n">
        <f aca="false">1/(1+Inputs!$C$28)^I43</f>
        <v>0.528719830773471</v>
      </c>
      <c r="J44" s="8" t="n">
        <f aca="false">1/(1+Inputs!$C$28)^J43</f>
        <v>0.473156446667083</v>
      </c>
      <c r="K44" s="8" t="n">
        <f aca="false">1/(1+Inputs!$C$28)^K43</f>
        <v>0.423432241410556</v>
      </c>
      <c r="L44" s="8" t="n">
        <f aca="false">1/(1+Inputs!$C$28)^L43</f>
        <v>0.378933573301011</v>
      </c>
      <c r="M44" s="8" t="n">
        <f aca="false">1/(1+Inputs!$C$28)^M43</f>
        <v>0.339008146915901</v>
      </c>
      <c r="N44" s="8" t="n">
        <f aca="false">1/(1+Inputs!$C$28)^N43</f>
        <v>0.30338164156102</v>
      </c>
      <c r="O44" s="8" t="n">
        <f aca="false">1/(1+Inputs!$C$28)^O43</f>
        <v>0.271499140281995</v>
      </c>
      <c r="P44" s="8" t="n">
        <f aca="false">1/(1+Inputs!$C$28)^P43</f>
        <v>0.242967184153219</v>
      </c>
      <c r="Q44" s="8" t="n">
        <f aca="false">1/(1+Inputs!$C$28)^Q43</f>
        <v>0.217367529996417</v>
      </c>
    </row>
    <row r="45" customFormat="false" ht="15" hidden="false" customHeight="false" outlineLevel="0" collapsed="false">
      <c r="A45" s="9" t="s">
        <v>159</v>
      </c>
      <c r="D45" s="7" t="n">
        <f aca="false">D40*D44</f>
        <v>-1707.32797172697</v>
      </c>
      <c r="E45" s="7" t="n">
        <f aca="false">E40*E44</f>
        <v>-1082.01047715336</v>
      </c>
      <c r="F45" s="7" t="n">
        <f aca="false">F40*F44</f>
        <v>-531.395960240123</v>
      </c>
      <c r="G45" s="7" t="n">
        <f aca="false">G40*G44</f>
        <v>125.247742558572</v>
      </c>
      <c r="H45" s="7" t="n">
        <f aca="false">H40*H44</f>
        <v>642.232266381192</v>
      </c>
      <c r="I45" s="7" t="n">
        <f aca="false">I40*I44</f>
        <v>1021.63840579383</v>
      </c>
      <c r="J45" s="7" t="n">
        <f aca="false">J40*J44</f>
        <v>1245.33390821639</v>
      </c>
      <c r="K45" s="7" t="n">
        <f aca="false">K40*K44</f>
        <v>1305.37334593488</v>
      </c>
      <c r="L45" s="7" t="n">
        <f aca="false">L40*L44</f>
        <v>1305.84584129355</v>
      </c>
      <c r="M45" s="7" t="n">
        <f aca="false">M40*M44</f>
        <v>1077.26134527875</v>
      </c>
      <c r="N45" s="7" t="n">
        <f aca="false">N40*N44</f>
        <v>899.669002548648</v>
      </c>
      <c r="O45" s="7" t="n">
        <f aca="false">O40*O44</f>
        <v>812.597750066723</v>
      </c>
      <c r="P45" s="7" t="n">
        <f aca="false">P40*P44</f>
        <v>734.025060441262</v>
      </c>
      <c r="Q45" s="7" t="n">
        <f aca="false">Q40*Q44</f>
        <v>662.912959259461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35" hidden="false" customHeight="false" outlineLevel="0" collapsed="false">
      <c r="A1" s="1" t="s">
        <v>160</v>
      </c>
    </row>
    <row r="3" customFormat="false" ht="15" hidden="false" customHeight="false" outlineLevel="0" collapsed="false">
      <c r="A3" s="41" t="s">
        <v>161</v>
      </c>
    </row>
    <row r="4" customFormat="false" ht="15" hidden="false" customHeight="false" outlineLevel="0" collapsed="false">
      <c r="A4" s="41" t="s">
        <v>103</v>
      </c>
    </row>
    <row r="5" customFormat="false" ht="15" hidden="false" customHeight="false" outlineLevel="0" collapsed="false">
      <c r="A5" s="41" t="s">
        <v>162</v>
      </c>
    </row>
    <row r="6" customFormat="false" ht="15" hidden="false" customHeight="false" outlineLevel="0" collapsed="false">
      <c r="A6" s="41" t="s">
        <v>34</v>
      </c>
    </row>
    <row r="7" customFormat="false" ht="15" hidden="false" customHeight="false" outlineLevel="0" collapsed="false">
      <c r="A7" s="41" t="s">
        <v>45</v>
      </c>
    </row>
    <row r="8" customFormat="false" ht="15" hidden="false" customHeight="false" outlineLevel="0" collapsed="false">
      <c r="A8" s="41" t="s">
        <v>163</v>
      </c>
    </row>
    <row r="9" customFormat="false" ht="15" hidden="false" customHeight="false" outlineLevel="0" collapsed="false">
      <c r="A9" s="41"/>
    </row>
    <row r="10" customFormat="false" ht="15" hidden="false" customHeight="false" outlineLevel="0" collapsed="false">
      <c r="A10" s="9" t="s">
        <v>164</v>
      </c>
    </row>
    <row r="11" customFormat="false" ht="15" hidden="false" customHeight="false" outlineLevel="0" collapsed="false">
      <c r="A11" s="41" t="s">
        <v>165</v>
      </c>
    </row>
    <row r="12" customFormat="false" ht="15" hidden="false" customHeight="false" outlineLevel="0" collapsed="false">
      <c r="A12" s="41" t="s">
        <v>166</v>
      </c>
    </row>
    <row r="13" customFormat="false" ht="15" hidden="false" customHeight="false" outlineLevel="0" collapsed="false">
      <c r="A13" s="41" t="s">
        <v>167</v>
      </c>
    </row>
    <row r="14" customFormat="false" ht="15" hidden="false" customHeight="false" outlineLevel="0" collapsed="false">
      <c r="A14" s="41" t="s">
        <v>168</v>
      </c>
    </row>
    <row r="15" customFormat="false" ht="15" hidden="false" customHeight="false" outlineLevel="0" collapsed="false">
      <c r="A15" s="41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2026-10-05T13:45:51Z</dcterms:created>
  <dc:creator>openpyxl</dc:creator>
  <dc:description/>
  <dc:language>en-US</dc:language>
  <cp:lastModifiedBy/>
  <dcterms:modified xsi:type="dcterms:W3CDTF">2026-10-05T13:45:52Z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